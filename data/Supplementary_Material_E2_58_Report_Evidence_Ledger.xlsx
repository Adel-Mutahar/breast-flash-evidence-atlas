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AdelMutahar/Documents/MAIN/Stanford Files/Experiments/Conferences/Review article/Review articles-team/My review article/Revision/Final Review Revision/untitled folder/final publication ready files/redjournal_pkg/"/>
    </mc:Choice>
  </mc:AlternateContent>
  <xr:revisionPtr revIDLastSave="0" documentId="8_{A8DF9866-E8FE-5C47-BCD9-56BFCED41E77}" xr6:coauthVersionLast="47" xr6:coauthVersionMax="47" xr10:uidLastSave="{00000000-0000-0000-0000-000000000000}"/>
  <bookViews>
    <workbookView xWindow="0" yWindow="500" windowWidth="38400" windowHeight="19580" activeTab="2" xr2:uid="{00000000-000D-0000-FFFF-FFFF00000000}"/>
  </bookViews>
  <sheets>
    <sheet name="README" sheetId="1" r:id="rId1"/>
    <sheet name="Evidence Ledger" sheetId="2" r:id="rId2"/>
    <sheet name="Full Extraction" sheetId="3" r:id="rId3"/>
    <sheet name="Mechanistic Theme Audit" sheetId="4" r:id="rId4"/>
    <sheet name="Referenc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4" l="1"/>
  <c r="C8" i="4" s="1"/>
  <c r="F10" i="1" s="1"/>
  <c r="B7" i="4"/>
  <c r="B6" i="4"/>
  <c r="C6" i="4" s="1"/>
  <c r="F8" i="1" s="1"/>
  <c r="B5" i="4"/>
  <c r="B4" i="4"/>
  <c r="B3" i="4"/>
  <c r="E10" i="1"/>
  <c r="E8" i="1"/>
  <c r="E9" i="1" l="1"/>
  <c r="C7" i="4"/>
  <c r="F9" i="1" s="1"/>
  <c r="E7" i="1"/>
  <c r="C5" i="4"/>
  <c r="F7" i="1" s="1"/>
  <c r="E6" i="1"/>
  <c r="C4" i="4"/>
  <c r="F6" i="1" s="1"/>
  <c r="E5" i="1"/>
  <c r="C3" i="4"/>
  <c r="F5" i="1" s="1"/>
</calcChain>
</file>

<file path=xl/sharedStrings.xml><?xml version="1.0" encoding="utf-8"?>
<sst xmlns="http://schemas.openxmlformats.org/spreadsheetml/2006/main" count="6241" uniqueCount="3177">
  <si>
    <t>Supplementary Material E2 — Full 58-Report Extraction Dataset</t>
  </si>
  <si>
    <t>FLASH Radiotherapy in Breast Cancer and Breast-Relevant Organs: A Scoping Review of Preclinical Evidence and the Clinical Roadmap</t>
  </si>
  <si>
    <t>Item</t>
  </si>
  <si>
    <t>Publication note</t>
  </si>
  <si>
    <t>Mechanistic theme</t>
  </si>
  <si>
    <t>n/58</t>
  </si>
  <si>
    <t>%</t>
  </si>
  <si>
    <t>Purpose</t>
  </si>
  <si>
    <t>Publication-ready study-level extraction dataset for the 58 eligible reports retained in the final review. The full scientific extraction fields from the master workbook are preserved.</t>
  </si>
  <si>
    <t>ROS/redox/oxygen</t>
  </si>
  <si>
    <t>Study identifiers</t>
  </si>
  <si>
    <t>S1–S58 are publication-specific identifiers and correspond directly to the References sheet. Original Covidence identifiers are retained unchanged only in the 'Internal Covidence #' column of the Full Extraction sheet.</t>
  </si>
  <si>
    <t>Immune/inflammatory</t>
  </si>
  <si>
    <t>Review denominator</t>
  </si>
  <si>
    <t>58 eligible reports. The completed search contained 1,439 records before deduplication; 291 full-text reports were assessed and 233 were excluded, leaving 58 included reports.</t>
  </si>
  <si>
    <t>DNA damage/sensing</t>
  </si>
  <si>
    <t>Comparator handling</t>
  </si>
  <si>
    <t>Cell death/senescence/cycle</t>
  </si>
  <si>
    <t>Direction-of-effect handling</t>
  </si>
  <si>
    <t>Outcome direction was adjudicated separately by domain. 'Not directly evaluable' denotes eligible evidence that did not contribute to the corresponding direct-comparison denominator.</t>
  </si>
  <si>
    <t>Fibrosis/TGF-β/remodeling</t>
  </si>
  <si>
    <t>Overlap handling</t>
  </si>
  <si>
    <t>Linked reports were retained for distinct eligible outcomes; reused animals, tissues, images, or public datasets were not counted as new independent evidence for the same outcome.</t>
  </si>
  <si>
    <t>Mitochondrial/metabolism</t>
  </si>
  <si>
    <t>Full extraction</t>
  </si>
  <si>
    <t>The Full Extraction sheet preserves all 80 original extraction columns, with publication-facing cleanup of internal workflow wording, final comparator/domain classifications, and S1–S58 study identifiers.</t>
  </si>
  <si>
    <t>Mechanistic-theme provenance</t>
  </si>
  <si>
    <t>The Mechanistic Theme Audit sheet derives six standardized themes directly from the 'Mechanistic pathways assessed' field in the Full Extraction sheet and shows the contributing reports for each theme.</t>
  </si>
  <si>
    <t>Mechanistic figure note</t>
  </si>
  <si>
    <t>The reproducible theme counts from the cleaned extraction are shown in Mechanistic Theme Audit. These should be used for Supplementary Figure S3.</t>
  </si>
  <si>
    <t>Source URLs</t>
  </si>
  <si>
    <t>DOI URLs are used consistently in the publication-facing dataset.</t>
  </si>
  <si>
    <t>Missing details</t>
  </si>
  <si>
    <t>Where a parameter could not be established from the source materials available for verification, the field is labeled “Not established from available sources.” This does not imply that the original authors failed to report the parameter.</t>
  </si>
  <si>
    <t>Study ID</t>
  </si>
  <si>
    <t>Study</t>
  </si>
  <si>
    <t>Year</t>
  </si>
  <si>
    <t>DOI</t>
  </si>
  <si>
    <t>DOI URL</t>
  </si>
  <si>
    <t>Domain(s)</t>
  </si>
  <si>
    <t>Design/model</t>
  </si>
  <si>
    <t>Modality</t>
  </si>
  <si>
    <t>FLASH regimen</t>
  </si>
  <si>
    <t>Comparator stratum</t>
  </si>
  <si>
    <t>Outcome direction</t>
  </si>
  <si>
    <t>Key result / interpretation</t>
  </si>
  <si>
    <t>Overlap adjudication</t>
  </si>
  <si>
    <t>S1</t>
  </si>
  <si>
    <t>Favaudon et al.</t>
  </si>
  <si>
    <t>10.1126/scitranslmed.3008973</t>
  </si>
  <si>
    <t>https://doi.org/10.1126/scitranslmed.3008973</t>
  </si>
  <si>
    <t>Breast/mammary tumor; Lung; Thoracic skin</t>
  </si>
  <si>
    <t>In vivo; HBCx-12A human triple-negative basal-like breast cancer xenograft; other non-breast tumor models also studied</t>
  </si>
  <si>
    <t>Electron (FLASH); CONV modality varied by experiment</t>
  </si>
  <si>
    <t>Thorax mainly 15–30 Gy ×1; HBCx-12A 17 Gy total as 2 × 8.5 Gy, 24 h apart; ~60 Gy/s for principal comparisons; operationally ≥40 Gy/s</t>
  </si>
  <si>
    <t>≤0.2 Gy/s</t>
  </si>
  <si>
    <t>Tumor: Comparable / neutral; Lung: Favorable FLASH sparing; Skin: Favorable FLASH sparing</t>
  </si>
  <si>
    <t>HBCx-12A FLASH vs CONV P &gt; 0.884; 17 Gy CONV fibrotic vs 17–20 Gy FLASH largely spared</t>
  </si>
  <si>
    <t>No identified overlap.</t>
  </si>
  <si>
    <t>S2</t>
  </si>
  <si>
    <t>Lu et al.</t>
  </si>
  <si>
    <t>10.1002/advs.202501797</t>
  </si>
  <si>
    <t>https://doi.org/10.1002/advs.202501797</t>
  </si>
  <si>
    <t>Lung; Thoracic immune/inflammatory</t>
  </si>
  <si>
    <t>In vivo; None – healthy lung/RILI model</t>
  </si>
  <si>
    <t>Electron</t>
  </si>
  <si>
    <t>17.8 Gy ×1; ~200 Gy/s</t>
  </si>
  <si>
    <t>&gt;0.2 Gy/s</t>
  </si>
  <si>
    <t>Lung: Favorable FLASH sparing; Immune: Favorable FLASH sparing / reparative immune modulation</t>
  </si>
  <si>
    <t>17.8 Gy ×1; n=12/group main cohort; &gt;135,000 cells reported across dataset</t>
  </si>
  <si>
    <t>Linked dataset; outcome-level deduplication applied.</t>
  </si>
  <si>
    <t>S3</t>
  </si>
  <si>
    <t>Johnson et al.</t>
  </si>
  <si>
    <t>10.3390/cancers17121921</t>
  </si>
  <si>
    <t>https://doi.org/10.3390/cancers17121921</t>
  </si>
  <si>
    <t>Breast/mammary tumor</t>
  </si>
  <si>
    <t>Mixed; MCF-7, T47D, ZR75-1/Luc; MCF-7/Luc and ZR75-1/Luc mammary-fat-pad xenografts</t>
  </si>
  <si>
    <t>6 Gy ×1 in vitro; 16 Gy ×1 in vivo; 443 Gy/s MDR (Trilogy) or 704 Gy/s MDR (Mobetron)</t>
  </si>
  <si>
    <t>Tumor: Comparable / neutral overall; endocrine-context dependent</t>
  </si>
  <si>
    <t>6 Gy in vitro; 16 Gy in vivo; UHDR 443/704 Gy/s; CDR 0.167 Gy/s</t>
  </si>
  <si>
    <t>S4</t>
  </si>
  <si>
    <t>Fouillade et al.</t>
  </si>
  <si>
    <t>10.1158/1078-0432.CCR-19-1440</t>
  </si>
  <si>
    <t>https://doi.org/10.1158/1078-0432.CCR-19-1440</t>
  </si>
  <si>
    <t>Lung</t>
  </si>
  <si>
    <t>In vivo; None – normal lung</t>
  </si>
  <si>
    <t>17 Gy ×1 bilateral thorax (in vivo); 5.2 ± 0.2 Gy lung-cell assays; 2 or 4 Gy primary airway basal cells; 4.5-MeV Kinetron electrons. Prior ~60 Gy/s estimate not directly specified in article/supplement; FLASH cathode current 100–220 mA.</t>
  </si>
  <si>
    <t>Lung: Favorable FLASH sparing; Immune: Favorable FLASH sparing</t>
  </si>
  <si>
    <t>17 Gy ×1 core thorax; reduced lung senescence and fibrosis vs CONV; CONV cathode current 80 µA. Study-specific numerical Gy/s and pulse timing parameters not stated in supplied article/supplement; prior ledger rates require dosimetry reference verification.</t>
  </si>
  <si>
    <t>S5</t>
  </si>
  <si>
    <t>Tessonnier et al.</t>
  </si>
  <si>
    <t>10.1016/j.ijrobp.2021.07.1703</t>
  </si>
  <si>
    <t>https://doi.org/10.1016/j.ijrobp.2021.07.1703</t>
  </si>
  <si>
    <t>Lung (cellular)</t>
  </si>
  <si>
    <t>In vitro; A549 and H1437 lung cancer cell lines; primary human pulmonary fibroblasts for DNA-damage endpoint</t>
  </si>
  <si>
    <t>Helium ion</t>
  </si>
  <si>
    <t>2–12 Gy ×1; 185 Gy/s average achieved</t>
  </si>
  <si>
    <t>Tumor: Not applicable to breast-tumor denominator; Lung: Mixed / condition-dependent</t>
  </si>
  <si>
    <t>uHDR 185 Gy/s vs SDR 0.12 Gy/s; 2–12 Gy; 10×10 mm²; LET 4.5–16 keV/μm</t>
  </si>
  <si>
    <t>S6</t>
  </si>
  <si>
    <t>Hao et al.</t>
  </si>
  <si>
    <t>10.1186/s13014-025-02781-x</t>
  </si>
  <si>
    <t>https://doi.org/10.1186/s13014-025-02781-x</t>
  </si>
  <si>
    <t>Breast/mammary tumor; Lung</t>
  </si>
  <si>
    <t>In vivo; 4T1 breast cancer; U87-MG and PAN02 non-breast models also studied</t>
  </si>
  <si>
    <t>4T1 10 Gy ×1; thorax 30 Gy ×1 (actual UHDR 30.73±0.74 Gy); 192 Gy/s (4T1); 473 Gy/s (thorax)</t>
  </si>
  <si>
    <t>Tumor: Comparable / neutral; Lung: Favorable FLASH sparing; Skin: Not directly evaluable for thoracic skin</t>
  </si>
  <si>
    <t>4T1: 10 Gy, 192 Gy/s vs 0.07 Gy/s, n=7/group; thorax: 30 Gy, 473 Gy/s vs 0.07 Gy/s, n=10/group; survival 80% vs 10%</t>
  </si>
  <si>
    <t>S7</t>
  </si>
  <si>
    <t>10.1186/s13014-026-02878-x</t>
  </si>
  <si>
    <t>https://doi.org/10.1186/s13014-026-02878-x</t>
  </si>
  <si>
    <t>In vivo; Syngeneic 4T1 breast tumor, right axillary region</t>
  </si>
  <si>
    <t>20 Gy ×1 nominal; 625 Gy/s</t>
  </si>
  <si>
    <t>Tumor: Comparable / neutral</t>
  </si>
  <si>
    <t>n=12/group; 20 Gy ×1; FLASH 625 Gy/s; CONV 0.54 Gy/s</t>
  </si>
  <si>
    <t>S8</t>
  </si>
  <si>
    <t>Jiang et al.</t>
  </si>
  <si>
    <t>10.1016/j.compbiolchem.2026.109198</t>
  </si>
  <si>
    <t>https://doi.org/10.1016/j.compbiolchem.2026.109198</t>
  </si>
  <si>
    <t>In vitro; None – MRC-5 normal human lung fibroblasts</t>
  </si>
  <si>
    <t>Photon/X-ray</t>
  </si>
  <si>
    <t>At least 8 and 12 Gy; transcriptomics after 8 Gy; 94 Gy/s</t>
  </si>
  <si>
    <t>Lung: Favorable FLASH sparing; Immune: Favorable/attenuated injury signature</t>
  </si>
  <si>
    <t>FLASH 94 Gy/s vs CONV 0.1 Gy/s; significant DSB reduction at 8 and 12 Gy</t>
  </si>
  <si>
    <t>S9</t>
  </si>
  <si>
    <t>Arrigo et al.</t>
  </si>
  <si>
    <t>10.1016/j.radonc.2026.111689</t>
  </si>
  <si>
    <t>https://doi.org/10.1016/j.radonc.2026.111689</t>
  </si>
  <si>
    <t>In vivo; None – healthy lung; conducted within breast-cancer research project</t>
  </si>
  <si>
    <t>17.5 Gy ×1 whole thorax; 9 MeV electrons; one 3.3-µs 17.5-Gy FLASH pulse; instantaneous 5.22×10^6 Gy/s (supp); main text 6.1×10^6 Gy/s rate label; CONV 0.238–0.24 Gy/s</t>
  </si>
  <si>
    <t>FLASH attenuated acute/2-wk lung inflammatory transcription; collagen at 3.5 months favored FLASH numerically but not significant (P=0.39).</t>
  </si>
  <si>
    <t>Linked/secondary report; reused outcomes were not counted as an additional independent cohort.</t>
  </si>
  <si>
    <t>S10</t>
  </si>
  <si>
    <t>Tsubouchi et al.</t>
  </si>
  <si>
    <t>10.1093/jrr/rrag039</t>
  </si>
  <si>
    <t>https://doi.org/10.1093/jrr/rrag039</t>
  </si>
  <si>
    <t>In vitro; Nuli-1 human bronchial epithelial; HDF human dermal fibroblasts; HSGc-C5 salivary gland cells</t>
  </si>
  <si>
    <t>Carbon ion</t>
  </si>
  <si>
    <t>7 Gy ×1; 100 Gy/s</t>
  </si>
  <si>
    <t>Tumor: Not applicable to breast-tumor denominator; Lung: Favorable FLASH sparing; Skin: Not directly evaluable for formal thoracic skin synthesis</t>
  </si>
  <si>
    <t>7 Gy ×1; 100 Gy/s vs 1 Gy/s; LETd 16.3 and 50 keV/μm</t>
  </si>
  <si>
    <t>S11</t>
  </si>
  <si>
    <t>10.1016/j.radonc.2026.111548</t>
  </si>
  <si>
    <t>https://doi.org/10.1016/j.radonc.2026.111548</t>
  </si>
  <si>
    <t>Breast/mammary tumor; Tumor immune/transcriptomic</t>
  </si>
  <si>
    <t>In vivo; Subcutaneous/orthotopic 4T1 and MDA-MB-231 TNBC models</t>
  </si>
  <si>
    <t>14 or 20 Gy ×1; 5×5.2 Gy; 10×3 Gy; Reported 5–5.79 ×10^6 Gy/s</t>
  </si>
  <si>
    <t>Tumor: Comparable / neutral; Immune: Mixed / immunotranscriptomically distinct without infiltration difference</t>
  </si>
  <si>
    <t>CONV 0.2 Gy/s; FLASH 5–5.79×10^6 Gy/s; 14/20 Gy ×1, 5×5.2 Gy, 10×3 Gy; NES CXCL/chemokines 2.516, IFN-α 2.998, IFN-γ 3.235</t>
  </si>
  <si>
    <t>Related research program; outcome-level independence adjudicated as described in S3.</t>
  </si>
  <si>
    <t>S12</t>
  </si>
  <si>
    <t>Shao et al.</t>
  </si>
  <si>
    <t>10.70322/iMed.2026.10006</t>
  </si>
  <si>
    <t>https://doi.org/10.70322/iMed.2026.10006</t>
  </si>
  <si>
    <t>In vitro; A549 human lung adenocarcinoma; BEAS-2B normal human bronchial epithelial cells</t>
  </si>
  <si>
    <t>Proton</t>
  </si>
  <si>
    <t>2, 5, and 10 Gy; 1.94×10^7 Gy/s instantaneous dose rate</t>
  </si>
  <si>
    <t>Tumor: Not directly evaluable for breast-tumor synthesis; Lung: Favorable FLASH sparing</t>
  </si>
  <si>
    <t>BEAS-2B α: 0.052 vs 0.47 Gy^-1, p&lt;0.001; A549 α: 0.46 vs 0.55 Gy^-1, p&gt;0.05.</t>
  </si>
  <si>
    <t>S13</t>
  </si>
  <si>
    <t>Lin et al.</t>
  </si>
  <si>
    <t>10.1016/j.ijrobp.2025.09.069</t>
  </si>
  <si>
    <t>https://doi.org/10.1016/j.ijrobp.2025.09.069</t>
  </si>
  <si>
    <t>In vivo; CT26 and LLC tumor models were included study-wide but are non-breast; formal review contribution is thoracic normal lung</t>
  </si>
  <si>
    <t>30 Gy total: FLASH1 as one delivery; FLASH3 as 10 Gy × 3 deliveries separated by two 30-s pauses within one treatment; 340 Gy/s for thoracic irradiation (CHEXs; study-wide 244–388 Gy/s depending model/geometry)</t>
  </si>
  <si>
    <t>98-day survival: FLASH1 86.4%, FLASH3 50%, CONV 0%; CONV vs FLASH1 p&lt;0.001; CONV vs FLASH3 p=0.001; FLASH1 vs FLASH3 p=0.081.</t>
  </si>
  <si>
    <t>S14</t>
  </si>
  <si>
    <t>Araya et al.</t>
  </si>
  <si>
    <t>10.1186/s40659-026-00674-1</t>
  </si>
  <si>
    <t>https://doi.org/10.1186/s40659-026-00674-1</t>
  </si>
  <si>
    <t>In vitro; MCF-7 breast adenocarcinoma (formal breast arm); HCT116 and DLD1 colorectal cancer cells also studied</t>
  </si>
  <si>
    <t>~0.25 Gy total; ~10^7 Gy/min (~1.67×10^5 Gy/s) reported UHDR</t>
  </si>
  <si>
    <t>No eligible direct comparator</t>
  </si>
  <si>
    <t>Not directly evaluable vs CONV for breast; UHDR shows breast cancer-cell cytotoxicity</t>
  </si>
  <si>
    <t>~0.25 Gy UHDR; 0.025 Gy/pulse × 10 pulses; ~10^7 Gy/min; ~38% reduction in MCF-7 viability at 24 h.</t>
  </si>
  <si>
    <t>S15</t>
  </si>
  <si>
    <t>Ghita-Pettigrew et al.</t>
  </si>
  <si>
    <t>10.1016/j.radonc.2026.111369</t>
  </si>
  <si>
    <t>https://doi.org/10.1016/j.radonc.2026.111369</t>
  </si>
  <si>
    <t>Heart/cardiac</t>
  </si>
  <si>
    <t>In vivo; None – normal cardiac irradiation model</t>
  </si>
  <si>
    <t>18.5±0.6 Gy; 85.6±1.6 Gy/s (isocentre 75.9±1.5 Gy/s)</t>
  </si>
  <si>
    <t>Heart: Favorable FLASH sparing; Immune: Favorable FLASH-associated inflammatory profile</t>
  </si>
  <si>
    <t>Dose/rate: FLASH 18.5±0.6 Gy at 85.6±1.6 Gy/s; CONV 20.1±0.5 Gy at 3.4±0.2 Gy/min. Representative 30-week GLS: control ~−17.0%, CONV ~−8.9%, FSD ~−11.1%, FLASH ~−14.3% (reported p&lt;0.01 group differences).</t>
  </si>
  <si>
    <t>S16</t>
  </si>
  <si>
    <t>Lee et al.</t>
  </si>
  <si>
    <t>10.1093/bjr/tqag015</t>
  </si>
  <si>
    <t>https://doi.org/10.1093/bjr/tqag015</t>
  </si>
  <si>
    <t>Lung; Thoracic skin; Thoracic immune/inflammatory</t>
  </si>
  <si>
    <t>In vivo; None – localized normal-lung irradiation model</t>
  </si>
  <si>
    <t>60 Gy; 500 Gy/s</t>
  </si>
  <si>
    <t>Lung: Favorable FLASH sparing; Skin: Favorable FLASH sparing; Immune: Favorable FLASH-associated inflammatory profile</t>
  </si>
  <si>
    <t>60 Gy localized left-lung irradiation; FLASH 500 Gy/s vs comparator 2 Gy/s; lung and skin responses assessed by histology, flow cytometry, and inflammatory assays.</t>
  </si>
  <si>
    <t>S17</t>
  </si>
  <si>
    <t>Guo et al.</t>
  </si>
  <si>
    <t>10.1667/RADE-25-00125</t>
  </si>
  <si>
    <t>https://doi.org/10.1667/RADE-25-00125</t>
  </si>
  <si>
    <t>Tumor: Not directly evaluable for breast-tumor synthesis; Lung: Favorable FLASH sparing; Immune: Favorable FLASH-associated local immune profile</t>
  </si>
  <si>
    <t>S18</t>
  </si>
  <si>
    <t>Engels et al.</t>
  </si>
  <si>
    <t>10.1016/j.adro.2025.101949</t>
  </si>
  <si>
    <t>https://doi.org/10.1016/j.adro.2025.101949</t>
  </si>
  <si>
    <t>Breast/mammary tumor; Tumor immune microenvironment</t>
  </si>
  <si>
    <t>Mixed; 4T1.2 mCherry murine triple-negative mammary carcinoma</t>
  </si>
  <si>
    <t>Photon/X-ray (synchrotron MRT + broad beam)</t>
  </si>
  <si>
    <t>MRT approximately 273–284 Gy peak / ~6.8 Gy valley, followed by ~8 Gy broad beam on each of days 11 and 12; MRT peak dose-rate groups ~14.3, 101, and 1082 Gy/s (valley ~0.35, 2.51, 25.9 Gy/s); broad beam ~107–109 Gy/s</t>
  </si>
  <si>
    <t>No conventional comparator (main in-vivo experiment)</t>
  </si>
  <si>
    <t>Immune: Not directly evaluable for thoracic immune denominator</t>
  </si>
  <si>
    <t>MRT peak rates: 14.3, 101, 1082 Gy/s; corresponding valley rates ~0.35, 2.51, 25.9 Gy/s; peak/valley doses ~280/~7 Gy; no significant tumor-growth difference among dose-rate groups.</t>
  </si>
  <si>
    <t>S19</t>
  </si>
  <si>
    <t>Dela et al.</t>
  </si>
  <si>
    <t>10.1093/bjr/tqaf219</t>
  </si>
  <si>
    <t>https://doi.org/10.1093/bjr/tqaf219</t>
  </si>
  <si>
    <t>In vitro; T47D hormone-receptor-positive human breast cancer spheroids; additional tumor spheroid models studied</t>
  </si>
  <si>
    <t>Electron UHDR &gt;200 Gy/s versus CONV ~0.1 Gy/s; dose levels selected to estimate spheroid-control dose under ambient and 1% oxygen conditions</t>
  </si>
  <si>
    <t>Tumor: Mixed</t>
  </si>
  <si>
    <t>T47D ambient: DMF(SCD50)=1.04, p=0.25; hypoxia: DMF=1.13, p&lt;0.01.</t>
  </si>
  <si>
    <t>S20</t>
  </si>
  <si>
    <t>Autsavapromporn et al.</t>
  </si>
  <si>
    <t>10.1080/09553002.2026.2654422</t>
  </si>
  <si>
    <t>https://doi.org/10.1080/09553002.2026.2654422</t>
  </si>
  <si>
    <t>In vitro; A549 lung cancer cells; TIG-1 normal human lung fibroblasts</t>
  </si>
  <si>
    <t>Proton microbeam</t>
  </si>
  <si>
    <t>10 Gy; 920 Gy/s high-rate arm; 23 Gy/s lower-rate arm</t>
  </si>
  <si>
    <t>No conventional comparator</t>
  </si>
  <si>
    <t>Higher-rate UHDR associated with sparing; not directly evaluable vs CONV</t>
  </si>
  <si>
    <t>10 Gy proton microbeam irradiation under hypoxia; 23 versus 920 Gy/s. Higher-rate irradiation was associated with reduced bystander injury, but no conventional-dose-rate comparator was included.</t>
  </si>
  <si>
    <t>S21</t>
  </si>
  <si>
    <t>Tao et al.</t>
  </si>
  <si>
    <t>10.1016/j.ijrobp.2026.04.018</t>
  </si>
  <si>
    <t>https://doi.org/10.1016/j.ijrobp.2026.04.018</t>
  </si>
  <si>
    <t>Lung; Heart/cardiac; Thoracic immune/hematologic</t>
  </si>
  <si>
    <t>In vivo; None – normal thoracic irradiation model</t>
  </si>
  <si>
    <t>17 Gy ×1 (FLASH 340 Gy/s, 7 pulses at 2.43 Gy); 2 Gy ×5 (FLASH 1 pulse/fraction); Mobetron 9 MeV; CONV 0.3 Gy/s</t>
  </si>
  <si>
    <t>Lung: Favorable FLASH sparing; Heart: Favorable FLASH sparing; Immune: Favorable FLASH sparing</t>
  </si>
  <si>
    <t>FLASH reduced late lung and heart fibrosis (p&lt;0.0001) and reduced lymphocyte apoptosis with faster immune-cell recovery in both single- and multifraction regimens.</t>
  </si>
  <si>
    <t>S22</t>
  </si>
  <si>
    <t>Paillas et al.</t>
  </si>
  <si>
    <t>10.1016/j.ijrobp.2026.05.015</t>
  </si>
  <si>
    <t>https://doi.org/10.1016/j.ijrobp.2026.05.015</t>
  </si>
  <si>
    <t>Thoracic skin; Thoracic immune/inflammatory</t>
  </si>
  <si>
    <t>In vivo; None – normal thoracic skin/immune model</t>
  </si>
  <si>
    <t>Single 20, 25, or 30 Gy; fractionated 3×10 Gy or 3×15 Gy over 3 consecutive days; Approximately 1800–3000 Gy/s for FLASH conditions used</t>
  </si>
  <si>
    <t>Skin: Favorable FLASH sparing; Immune: Favorable FLASH-associated immune/inflammatory profile</t>
  </si>
  <si>
    <t>FLASH skin sparing reported at p&lt;0.001; dose-modifying factor approximately 1.5 across the reported 1800–3000 Gy/s FLASH range.</t>
  </si>
  <si>
    <t>Partial overlap; only distinct outcomes were counted independently.</t>
  </si>
  <si>
    <t>S23</t>
  </si>
  <si>
    <t>Zafar et al.</t>
  </si>
  <si>
    <t>10.1016/j.ijrobp.2026.04.095</t>
  </si>
  <si>
    <t>https://doi.org/10.1016/j.ijrobp.2026.04.095</t>
  </si>
  <si>
    <t>Breast/chest-wall planning; Thoracic skin dosimetry; Lung dosimetry</t>
  </si>
  <si>
    <t>Retrospective treatment-planning study; Postmastectomy breast/chest-wall clinical planning cases</t>
  </si>
  <si>
    <t>Proton transmission pencil-beam scanning</t>
  </si>
  <si>
    <t>32 Gy in 5 fractions (planning prescription); Model-defined FLASH criterion ≥40 Gy/s; no single biological delivered rate</t>
  </si>
  <si>
    <t>No conventional biological comparator</t>
  </si>
  <si>
    <t>Skin: Not directly evaluable biologically; positive planning feasibility</t>
  </si>
  <si>
    <t>5 left-sided postmastectomy cases; 32 Gy/5 fractions; 249-MeV transmission beams. Skin FLASH voxels at 10→20 mm/ms: 41.4→58.8% (ADR), 8.4→13.1% (FEM); split-field CTV corrected Dmean reduction up to 9.2 Gy; GA CTV Dmean reduction 7.87 Gy; skin Dmean reduction 2–3 Gy.</t>
  </si>
  <si>
    <t>S24</t>
  </si>
  <si>
    <t>Luo et al.</t>
  </si>
  <si>
    <t>10.1042/cs20257640</t>
  </si>
  <si>
    <t>https://doi.org/10.1042/cs20257640</t>
  </si>
  <si>
    <t>In vivo; Healthy-lung irradiation followed by metastatic-seeding/cancer-progression assays; non-breast tumor context</t>
  </si>
  <si>
    <t>10 Gy ×1, 9-MeV electrons, FLASH 120 Gy/s; pulse 0.33 Gy at 360 Hz (source-verified).</t>
  </si>
  <si>
    <t>Tumor: Not directly evaluable for breast-tumor synthesis; Lung: Mixed / time-dependent; late favorable FLASH sparing; Immune: Mixed / phase-dependent</t>
  </si>
  <si>
    <t>Acute inflammatory responses were similar, whereas pulmonary fibrosis was lower after FLASH at 12 weeks; chronic inflammatory and metastatic-seeding responses were time dependent.</t>
  </si>
  <si>
    <t>S25</t>
  </si>
  <si>
    <t>Minafra et al.</t>
  </si>
  <si>
    <t>10.3389/fonc.2026.1857611</t>
  </si>
  <si>
    <t>https://doi.org/10.3389/fonc.2026.1857611</t>
  </si>
  <si>
    <t>Breast/mammary tumor; Normal breast-cell mechanistic</t>
  </si>
  <si>
    <t>In vitro; MDA-MB-231 TNBC; MCF10A non-tumorigenic mammary epithelial cells</t>
  </si>
  <si>
    <t>2, 4, 6, 9, 11, 15 Gy for clonogenic assays; 2/5 Gy DNA-damage; 9/15 Gy transcriptomics; 230 Gy/s</t>
  </si>
  <si>
    <t>Tumor: Comparable / neutral for clonogenic survival; molecular responses differed</t>
  </si>
  <si>
    <t>FLASH 230 Gy/s vs CONV 0.1 Gy/s; doses 2–15 Gy; no significant survival difference at tested doses.</t>
  </si>
  <si>
    <t>S26</t>
  </si>
  <si>
    <t>Velalopoulou et al.</t>
  </si>
  <si>
    <t>10.1186/s13014-025-02714-8</t>
  </si>
  <si>
    <t>https://doi.org/10.1186/s13014-025-02714-8</t>
  </si>
  <si>
    <t>Lung (ex vivo human); Metabolomic/mechanistic</t>
  </si>
  <si>
    <t>Ex vivo human; None – healthy human lung tissue</t>
  </si>
  <si>
    <t>12 Gy ×1; 95.1 ± 23 Gy/s</t>
  </si>
  <si>
    <t>Lung: Not directly evaluable for tissue sparing; distinct metabolomic response</t>
  </si>
  <si>
    <t>3 donors; 12 Gy; FLASH 95.1±23 Gy/s vs standard 0.58±0.16 Gy/s; 22 metabolites of interest.</t>
  </si>
  <si>
    <t>S27</t>
  </si>
  <si>
    <t>Dubail et al.</t>
  </si>
  <si>
    <t>10.1016/j.radonc.2025.111126</t>
  </si>
  <si>
    <t>https://doi.org/10.1016/j.radonc.2025.111126</t>
  </si>
  <si>
    <t>Lung (ex vivo human)</t>
  </si>
  <si>
    <t>Ex vivo human; Tumor-free/healthy lung samples from surgical specimens</t>
  </si>
  <si>
    <t>7-MeV electron; ElectronFLASH (SIT S.p.A.)</t>
  </si>
  <si>
    <t>9 ± 0.2 Gy ×1; ~450 Gy/s</t>
  </si>
  <si>
    <t>Lung: Favorable FLASH sparing</t>
  </si>
  <si>
    <t>19 patients; 9 Gy ×1; 18/19 (~95%) showed greater preservation of cycling cells after FLASH; RNA-seq: CONV upregulated &gt;2000 genes vs only 55 after FLASH in selected patients.</t>
  </si>
  <si>
    <t>S28</t>
  </si>
  <si>
    <t>Xu et al.</t>
  </si>
  <si>
    <t>10.1667/RADE-24-00012.1</t>
  </si>
  <si>
    <t>https://doi.org/10.1667/RADE-24-00012.1</t>
  </si>
  <si>
    <t>Lung (cellular); Bystander/inflammatory mechanism</t>
  </si>
  <si>
    <t>In vitro; BEAS-2B and HSAEC1-KT normal human lung epithelial cells</t>
  </si>
  <si>
    <t>0/2/4/6/8/15 Gy proton FLASH at 40 Gy/s; CONV 1.7 Gy/min.</t>
  </si>
  <si>
    <t>Lung: Favorable FLASH sparing; Immune: Favorable/attenuated inflammatory bystander signaling</t>
  </si>
  <si>
    <t>FLASH 40 Gy/s vs CONV 1.7 Gy/min (0.0283 Gy/s); endpoint effect sizes/P values</t>
  </si>
  <si>
    <t>S29</t>
  </si>
  <si>
    <t>10.1002/mp.70054</t>
  </si>
  <si>
    <t>https://doi.org/10.1002/mp.70054</t>
  </si>
  <si>
    <t>In vivo; SV2 lung adenocarcinoma cells injected intravenously after healthy-lung irradiation; non-breast metastasis model</t>
  </si>
  <si>
    <t>9-MeV electron, modified Varian 23CX LINAC for the whole-thoracic in-vivo experiment</t>
  </si>
  <si>
    <t>10 Gy ×1; 120 Gy/s</t>
  </si>
  <si>
    <t>Tumor: Not directly evaluable for breast-tumor synthesis; Lung: Comparable / neutral at acute time point; Immune: Comparable / neutral acutely</t>
  </si>
  <si>
    <t>10 Gy whole-thoracic irradiation at 120 Gy/s FLASH with a conventional comparator; no acute FLASH-vs-CONV sparing was detected in the reported lung/immune endpoints.</t>
  </si>
  <si>
    <t>S30</t>
  </si>
  <si>
    <t>Kuipers et al.</t>
  </si>
  <si>
    <t>10.1016/j.ctro.2025.100927</t>
  </si>
  <si>
    <t>https://doi.org/10.1016/j.ctro.2025.100927</t>
  </si>
  <si>
    <t>Lung/bronchial (ex vivo 3D)</t>
  </si>
  <si>
    <t>Ex vivo / 3D organoid; Primary bronchial epithelial cell organoids from COPD donors</t>
  </si>
  <si>
    <t>2 and 8 Gy; 40 Gy/s</t>
  </si>
  <si>
    <t>Lung: Unfavorable FLASH / no sparing</t>
  </si>
  <si>
    <t>6 COPD donors; 2 and 8 Gy; 2-Gy FLASH vs CONV organoid formation at 7 days p=0.008.</t>
  </si>
  <si>
    <t>S31</t>
  </si>
  <si>
    <t>Melemenidis et al.</t>
  </si>
  <si>
    <t>10.3390/cancers17071095</t>
  </si>
  <si>
    <t>https://doi.org/10.3390/cancers17071095</t>
  </si>
  <si>
    <t>In vivo; Py117 syngeneic orthotopic mammary tumor</t>
  </si>
  <si>
    <t>20, 25, 30 Gy ×1; 93–200</t>
  </si>
  <si>
    <t>FLASH 93–200 vs CONV 0.08 Gy/s; 30-Gy day-33 p&gt;0.999 and day-46 p=0.829.</t>
  </si>
  <si>
    <t>S32</t>
  </si>
  <si>
    <t>Minami et al.</t>
  </si>
  <si>
    <t>10.21873/anticanres.17483</t>
  </si>
  <si>
    <t>https://doi.org/10.21873/anticanres.17483</t>
  </si>
  <si>
    <t>In vitro; Nuli-1 bronchial epithelial; HDF; HSGc-C5</t>
  </si>
  <si>
    <t>Up to 6.5; 100</t>
  </si>
  <si>
    <t>≤6.5 Gy; 100 vs 1 Gy/s; LET 19 and 50 keV/μm.</t>
  </si>
  <si>
    <t>S33</t>
  </si>
  <si>
    <t>Li et al.</t>
  </si>
  <si>
    <t>10.1038/s41598-025-87247-6</t>
  </si>
  <si>
    <t>https://doi.org/10.1038/s41598-025-87247-6</t>
  </si>
  <si>
    <t>Lung; Proteomic/mechanistic</t>
  </si>
  <si>
    <t>In vivo; Healthy mice</t>
  </si>
  <si>
    <t>3; 200</t>
  </si>
  <si>
    <t>3 Gy ×1; 200 vs 0.3 Gy/s; 3 months.</t>
  </si>
  <si>
    <t>S34</t>
  </si>
  <si>
    <t>Ford et al.</t>
  </si>
  <si>
    <t>10.1117/1.JMI.12.1.014002</t>
  </si>
  <si>
    <t>https://doi.org/10.1117/1.JMI.12.1.014002</t>
  </si>
  <si>
    <t>In vivo; C57BL/6</t>
  </si>
  <si>
    <t>10-MV photon</t>
  </si>
  <si>
    <t>15/30 Gy prescribed; FLASH delivered 14.57/29.65 Gy at ~90/98 Gy/s; CONV delivered 11.74/32.94 Gy at 0.036/0.060 Gy/s.</t>
  </si>
  <si>
    <t>Lung: Mixed / dose-dependent; favorable at 30 Gy</t>
  </si>
  <si>
    <t>n=6/group; 15 Gy: 90 vs 0.04 Gy/s; 30 Gy: 98 vs 0.06 Gy/s; 24-week follow-up.</t>
  </si>
  <si>
    <t>S35</t>
  </si>
  <si>
    <t>Del Debbio et al.</t>
  </si>
  <si>
    <t>10.1016/j.ctarc.2025.100961</t>
  </si>
  <si>
    <t>https://doi.org/10.1016/j.ctarc.2025.100961</t>
  </si>
  <si>
    <t>In vitro; 16HBE healthy human bronchial epithelial cells; A549 human lung adenocarcinoma cells used for clonogenic tumor-cell comparison</t>
  </si>
  <si>
    <t>Electron; SIT Sordina ElectronFLASH dedicated LINAC</t>
  </si>
  <si>
    <t>2, 4, 8, and 12 Gy ×1; 275 Gy/s</t>
  </si>
  <si>
    <t>Tumor: Comparable / neutral in A549 lung cancer cells; non-breast tumor context; Lung: Favorable FLASH sparing</t>
  </si>
  <si>
    <t>FLASH 275 Gy/s vs CONV 0.10 Gy/s; healthy 16HBE clonogenic survival significantly higher after FLASH at matched doses; ROS significantly lower with FLASH at 2 Gy (60 min p&lt;0.01; 90 min p&lt;0.0001) and throughout the 4-Gy time course (p&lt;0.0001).</t>
  </si>
  <si>
    <t>S36</t>
  </si>
  <si>
    <t>Chen et al.</t>
  </si>
  <si>
    <t>10.1021/acsami.4c09833</t>
  </si>
  <si>
    <t>https://doi.org/10.1021/acsami.4c09833</t>
  </si>
  <si>
    <t>Breast/mammary tumor; Tumor immune</t>
  </si>
  <si>
    <t>In vitro + in vivo; 4T1 murine breast cancer; bilateral subcutaneous model: 5×10⁶ 4T1 cells right flank (primary tumor) and 1×10⁶ 4T1 cells left flank (distant/abscopal tumor)</t>
  </si>
  <si>
    <t>Proton beam</t>
  </si>
  <si>
    <t>10 Gy ×1; 300 Gy/s</t>
  </si>
  <si>
    <t>Immune: Combination favorable; not dose-rate comparative</t>
  </si>
  <si>
    <t>S37</t>
  </si>
  <si>
    <t>Portier et al.</t>
  </si>
  <si>
    <t>10.1016/j.ijrobp.2024.01.210</t>
  </si>
  <si>
    <t>https://doi.org/10.1016/j.ijrobp.2024.01.210</t>
  </si>
  <si>
    <t>Lung; Mechanistic lipid/redox</t>
  </si>
  <si>
    <t>In vitro + in vivo; RPE1-hTERT normal human retinal pigment epithelial cells; SK-MEL-28 melanoma cells; no in-vivo tumor model</t>
  </si>
  <si>
    <t>7-MeV electron</t>
  </si>
  <si>
    <t>Mouse lung: 12.80 ± 0.06 Gy actual delivered dose (~13 Gy nominal); 640 Gy/s</t>
  </si>
  <si>
    <t>Lung: Not directly evaluable for tissue sparing; FLASH-specific mechanistic difference</t>
  </si>
  <si>
    <t>Mouse lung: 13 Gy nominal; FLASH 640 Gy/s vs CONV 0.80 Gy/s; total oxylipins at 5 min: NI 109.0 ± 9.6, CONV 84.3 ± 5.5, FLASH 78.0 ± 7.6 nmol/g.</t>
  </si>
  <si>
    <t>S38</t>
  </si>
  <si>
    <t>Kim et al.</t>
  </si>
  <si>
    <t>10.1016/j.ijrobp.2024.01.224</t>
  </si>
  <si>
    <t>https://doi.org/10.1016/j.ijrobp.2024.01.224</t>
  </si>
  <si>
    <t>Heart/cardiac; Thoracic inflammatory/fibrotic</t>
  </si>
  <si>
    <t>In vivo; Mouse –</t>
  </si>
  <si>
    <t>39.95 ± 0.09; 122.65 ± 2.35</t>
  </si>
  <si>
    <t>39.95±0.09 Gy at 122.65±2.35 vs 39.93±0.40 Gy at 0.84±0.07 Gy/s.</t>
  </si>
  <si>
    <t>S39</t>
  </si>
  <si>
    <t>Franciosini et al.</t>
  </si>
  <si>
    <t>10.1016/j.ejmp.2024.103346</t>
  </si>
  <si>
    <t>https://doi.org/10.1016/j.ejmp.2024.103346</t>
  </si>
  <si>
    <t>Breast planning; Thoracic skin/breast OAR dosimetry</t>
  </si>
  <si>
    <t>Treatment planning / Monte Carlo; Early-stage breast cancer IOeRT scenario</t>
  </si>
  <si>
    <t>Electron IOeRT</t>
  </si>
  <si>
    <t>In-silico breast IOeRT 20 Gy prescription; 8/10/12 MeV, 40–70 mm applicators; modeled FLASH effect, no delivered pulse parameters.</t>
  </si>
  <si>
    <t>Planning comparison</t>
  </si>
  <si>
    <t>Skin: Positive planning feasibility; not biological</t>
  </si>
  <si>
    <t>GPU Monte Carlo simulated PTV/OAR DVHs; energy planning 13 s, applicator 16 s, 9-position scan 35 s. No experimental FLASH response.</t>
  </si>
  <si>
    <t>S40</t>
  </si>
  <si>
    <t>Sesink et al.</t>
  </si>
  <si>
    <t>10.1093/narcan/zcae011</t>
  </si>
  <si>
    <t>https://doi.org/10.1093/narcan/zcae011</t>
  </si>
  <si>
    <t>Lung; Mechanistic DNA-damage response</t>
  </si>
  <si>
    <t>In vitro + ex vivo + in vivo; C57BL/6J mice plus normal epithelial/fibroblast systems</t>
  </si>
  <si>
    <t>13; &gt;100</t>
  </si>
  <si>
    <t>Lung: Favorable FLASH sparing; Immune: Favorable chronic profibrotic profile</t>
  </si>
  <si>
    <t>13 Gy ×1; FLASH &gt;100 vs CONV 0.4 Gy/s; GSE240510 has 1 scRNA-seq sample/condition.</t>
  </si>
  <si>
    <t>S41</t>
  </si>
  <si>
    <t>Zieliński et al.</t>
  </si>
  <si>
    <t>10.31300/ctppr.25.2024.1-12</t>
  </si>
  <si>
    <t>https://doi.org/10.31300/ctppr.25.2024.1-12</t>
  </si>
  <si>
    <t>Breast/mammary tumor cellular; normal mammary epithelial cellular; DNA-damage mechanism</t>
  </si>
  <si>
    <t>In vitro, chemically induced hypoxia; MCF-7 breast cancer and MCF-12A non-tumorigenic mammary epithelial cells</t>
  </si>
  <si>
    <t>2.35 ± 0.11 Gy delivered dose; 10 Gy/s (author-described UHDR; below ≥40 Gy/s canonical FLASH threshold)</t>
  </si>
  <si>
    <t>Tumor: Not directly evaluable for tumor control</t>
  </si>
  <si>
    <t>UHDR: 2.35 ± 0.11 Gy at 10 Gy/s; CONV: 2.45 ± 0.02 Gy at 0.0833 Gy/s.</t>
  </si>
  <si>
    <t>S42</t>
  </si>
  <si>
    <t>10.3390/cells12202435</t>
  </si>
  <si>
    <t>https://doi.org/10.3390/cells12202435</t>
  </si>
  <si>
    <t>Ex vivo mouse lung slices + in vivo validation; None – healthy lung</t>
  </si>
  <si>
    <t>Ex vivo 3, 6, 9 Gy; in vivo 9 or 13 Gy; &gt;100 Gy/s</t>
  </si>
  <si>
    <t>Mixed by experiment: ex vivo &gt;0.2 Gy/s; in vivo ≤0.2 Gy/s</t>
  </si>
  <si>
    <t>Ex vivo 3/6/9 Gy, FLASH &gt;100 Gy/s vs CONV ~0.5 Gy/s; ~3 Gy/pulse; in vivo CONV ~0.1 Gy/s.</t>
  </si>
  <si>
    <t>S43</t>
  </si>
  <si>
    <t>Lattery et al.</t>
  </si>
  <si>
    <t>10.3390/cancers15184560</t>
  </si>
  <si>
    <t>https://doi.org/10.3390/cancers15184560</t>
  </si>
  <si>
    <t>Breast planning; Thoracic skin/lung/heart dosimetry</t>
  </si>
  <si>
    <t>Retrospective treatment planning; Early-stage breast cancer planning cases</t>
  </si>
  <si>
    <t>Proton PBS, single-energy Bragg-peak IMPT</t>
  </si>
  <si>
    <t>40 Gy total as 8 Gy ×5; FLASH criterion ≥40 Gy(RBE)/s; voxel/average-rate planning</t>
  </si>
  <si>
    <t>Skin: Not directly evaluable biologically; planning feasibility</t>
  </si>
  <si>
    <t>n=10; 40 Gy/5 fx; FLASH ≥40 Gy(RBE)/s; conventional target Dmax 4.5% lower and skin Dmax 12.9% lower; FLASH coverage ~46.7% (&gt;1 Gy tissue) and ~61.9% (&gt;5 Gy tissue) under reported planning conditions.</t>
  </si>
  <si>
    <t>S44</t>
  </si>
  <si>
    <t>van Marlen et al.</t>
  </si>
  <si>
    <t>10.3390/cancers15092579</t>
  </si>
  <si>
    <t>https://doi.org/10.3390/cancers15092579</t>
  </si>
  <si>
    <t>Whole-breast planning; Thoracic OAR dosimetry</t>
  </si>
  <si>
    <t>Treatment-planning/dose-rate simulation; Whole-breast irradiation planning</t>
  </si>
  <si>
    <t>250-MeV proton transmission beam</t>
  </si>
  <si>
    <t>5×5.7 Gy; hypothetical 2×9.74 Gy and 1×14.32 Gy schedules; Evaluated at ≥40 and ≥100 Gy/s thresholds</t>
  </si>
  <si>
    <t>Planning/parameter study</t>
  </si>
  <si>
    <t>Positive planning feasibility / parameter-dependent</t>
  </si>
  <si>
    <t>250 MeV; 5×5.7 Gy, 2×9.74 Gy, or 1×14.32 Gy; thresholds 40 and 100 Gy/s; ~50–95% modeled coverage at 40 Gy/s under current settings.</t>
  </si>
  <si>
    <t>S45</t>
  </si>
  <si>
    <t>Dai et al.</t>
  </si>
  <si>
    <t>10.1080/09553002.2023.2194403</t>
  </si>
  <si>
    <t>https://doi.org/10.1080/09553002.2023.2194403</t>
  </si>
  <si>
    <t>Lung; Non-breast tumor contextual</t>
  </si>
  <si>
    <t>In vivo; A549 xenografted lung tumor</t>
  </si>
  <si>
    <t>High-energy X-ray</t>
  </si>
  <si>
    <t>20 Gy total; 200 Gy/s</t>
  </si>
  <si>
    <t>Tumor: Comparable / neutral (non-breast contextual tumor); Lung: Favorable FLASH sparing</t>
  </si>
  <si>
    <t>20 Gy; FLASH 200 vs CONV 0.033 Gy/s; mean tumor volumes: control 233.6±55.19, CONV 146.1±50.62, FLASH1 148±18.83, FLASH10 119.1±50.62 mm³.</t>
  </si>
  <si>
    <t>S46</t>
  </si>
  <si>
    <t>Zhu et al.</t>
  </si>
  <si>
    <t>10.1016/j.ctro.2022.11.005</t>
  </si>
  <si>
    <t>https://doi.org/10.1016/j.ctro.2022.11.005</t>
  </si>
  <si>
    <t>Breast/mammary tumor; Tumor/systemic immune</t>
  </si>
  <si>
    <t>In vivo; Py8119 and Py230 syngeneic breast tumors in fourth inguinal mammary gland</t>
  </si>
  <si>
    <t>6-MV X-ray</t>
  </si>
  <si>
    <t>10 Gy ×1; 125 Gy/s mean; instantaneous ~4.6×10^5 Gy/s</t>
  </si>
  <si>
    <t>Tumor: Comparable / neutral; Immune: Distinct systemic immune modulation; not counted as strict thoracic immune endpoint</t>
  </si>
  <si>
    <t>10 Gy; 125 vs 0.2 Gy/s; Py8119 final volume ~2195 control, 1424 CONV, 942 FLASH mm³; Py230 ~227 control, 41.9 CONV, 44.2 FLASH mm³.</t>
  </si>
  <si>
    <t>S47</t>
  </si>
  <si>
    <t>Sørensen et al.</t>
  </si>
  <si>
    <t>10.1016/j.radonc.2022.05.014</t>
  </si>
  <si>
    <t>https://doi.org/10.1016/j.radonc.2022.05.014</t>
  </si>
  <si>
    <t>Breast/mammary tumor (ectopic)</t>
  </si>
  <si>
    <t>In vivo; C3H mouse mammary carcinoma implanted subcutaneously in the foot</t>
  </si>
  <si>
    <t>Proton PBS</t>
  </si>
  <si>
    <t>40–60 Gy ×1; 71–89 Gy/s</t>
  </si>
  <si>
    <t>TCD50 49.1 (47.0–51.4) vs 51.3 (48.6–54.2) Gy; FLASH 71–89 vs CONV 0.33–0.63 Gy/s.</t>
  </si>
  <si>
    <t>S48</t>
  </si>
  <si>
    <t>10.1667/RADE-21-00181.1</t>
  </si>
  <si>
    <t>https://doi.org/10.1667/RADE-21-00181.1</t>
  </si>
  <si>
    <t>Lung (cellular); Mitochondrial/redox mechanism</t>
  </si>
  <si>
    <t>In vitro; IMR90 normal human lung fibroblasts; A549 lung cancer contextual comparison</t>
  </si>
  <si>
    <t>Primarily 15 Gy; 1.5 Gy included in protein experiments; 100 Gy/s</t>
  </si>
  <si>
    <t>Tumor: Not part of breast-tumor denominator; Lung: Favorable FLASH sparing</t>
  </si>
  <si>
    <t>15 Gy; FLASH 100 Gy/s; Methods CONV 0.33 Gy/s (figure captions often 0.03); CONV ROS &gt;2× background at 40 min, p&lt;0.01; ATP fell 30.2% CONV vs 17.5% FLASH.</t>
  </si>
  <si>
    <t>S49</t>
  </si>
  <si>
    <t>Tashiro et al.</t>
  </si>
  <si>
    <t>10.21873/anticanres.15725</t>
  </si>
  <si>
    <t>https://doi.org/10.21873/anticanres.15725</t>
  </si>
  <si>
    <t>In vitro; HFL1 human lung fibroblasts; HSGc-C5 cancer cells</t>
  </si>
  <si>
    <t>1–3 Gy; 96–195 Gy/s</t>
  </si>
  <si>
    <t>Tumor: Comparable / neutral in tested cancer cells; not breast denominator; Lung: Comparable / neutral – no FLASH sparing</t>
  </si>
  <si>
    <t>1–3 Gy; UHDR 96–195 vs NDR 7.7–12 Gy/s; LET 13 or 50 keV/µm.</t>
  </si>
  <si>
    <t>S50</t>
  </si>
  <si>
    <t>Romano et al.</t>
  </si>
  <si>
    <t>10.1016/j.ijrobp.2021.10.009</t>
  </si>
  <si>
    <t>https://doi.org/10.1016/j.ijrobp.2021.10.009</t>
  </si>
  <si>
    <t>In vivo irradiation followed by ex-vivo XPCI-CT / virtual histology at 12 months; None – healthy rat lung</t>
  </si>
  <si>
    <t>Synchrotron X-ray broad beam (BB) and microbeam radiation therapy (MRT)</t>
  </si>
  <si>
    <t>MRT50: peak 50, 100, 300, 600 Gy with valley 1.2, 2.4, 7.3, 14.6 Gy; MRT500: peak 50, 100, 300, 600 Gy with valley 0.7, 1.3, 4.0, 7.9 Gy; Maximum MRT dose rate 14,000 Gy/s (14 kGy/s)</t>
  </si>
  <si>
    <t>Spatial-delivery-confounded comparator; not a clean dose-rate-only FLASH-vs-CONV comparison</t>
  </si>
  <si>
    <t>Lung: Favorable MRT tissue preservation, but not directly evaluable as pure FLASH dose-rate effect</t>
  </si>
  <si>
    <t>33 male Fischer rats; n=3/group; MRT peak doses 50–600 Gy at max 14 kGy/s; BB 30/50 Gy; fibrosis &lt;10% for MRT vs 34% for BB50</t>
  </si>
  <si>
    <t>S51</t>
  </si>
  <si>
    <t>Gao et al.</t>
  </si>
  <si>
    <t>10.1016/j.radonc.2021.11.004</t>
  </si>
  <si>
    <t>https://doi.org/10.1016/j.radonc.2021.11.004</t>
  </si>
  <si>
    <t>In vivo; EMT6 mouse breast cancer cells implanted subcutaneously in back skin</t>
  </si>
  <si>
    <t>Tumor 18 Gy ×1; thorax 30 Gy ×1; Tumor 1000 Gy/s; thorax 1200 Gy/s</t>
  </si>
  <si>
    <t>Tumor: Not directly evaluable because FLASH dose was 18 Gy vs 15 Gy CONV; Lung: Favorable FLASH sparing, but non-isodose</t>
  </si>
  <si>
    <t>Tumor: 18 Gy at 1000 Gy/s vs 15 Gy at 0.1 Gy/s; thorax: 30 Gy at 1200 Gy/s vs 24 Gy at 0.1 Gy/s; thorax survival p=0.038.</t>
  </si>
  <si>
    <t>S52</t>
  </si>
  <si>
    <t>Adrian et al.</t>
  </si>
  <si>
    <t>10.3389/fonc.2021.686142</t>
  </si>
  <si>
    <t>https://doi.org/10.3389/fonc.2021.686142</t>
  </si>
  <si>
    <t>Breast/mammary tumor (in vitro); Lung (cellular)</t>
  </si>
  <si>
    <t>In vitro; MCF7 and MDA-MB-231 breast cancer; other cancer lines; MRC-5 normal human lung fibroblasts</t>
  </si>
  <si>
    <t>Breast/lung-relevant models: 3, 6, 9 Gy ×1; 12 Gy additionally tested only in HeLa subclone; ~0.86–1.2 ×10^6 Gy/s depending on dose</t>
  </si>
  <si>
    <t>Tumor: Unfavorable FLASH effect; Lung: Comparable / neutral</t>
  </si>
  <si>
    <t>MCF7 DMF=1.10, P=0.03; MDA-MB-231 DMF=1.14; MRC-5 DMF=1.09 (IQR 0.97–1.21), P=0.24</t>
  </si>
  <si>
    <t>S53</t>
  </si>
  <si>
    <t>Soto et al.</t>
  </si>
  <si>
    <t>10.1667/RADE-20-00090</t>
  </si>
  <si>
    <t>https://doi.org/10.1667/RADE-20-00090</t>
  </si>
  <si>
    <t>Thoracic skin</t>
  </si>
  <si>
    <t>In vivo; None – normal-tissue skin dose-response study</t>
  </si>
  <si>
    <t>10, 16, 20, 30, or 40 Gy ×1; 180 Gy/s</t>
  </si>
  <si>
    <t>Skin: Favorable FLASH sparing</t>
  </si>
  <si>
    <t>40-Gy skin scores significantly lower with FLASH (p&lt;0.05); median survival &gt;180 days for 30/40-Gy FLASH vs 100/52 days for 30/40-Gy CONV.</t>
  </si>
  <si>
    <t>S54</t>
  </si>
  <si>
    <t>Venkatesulu et al.</t>
  </si>
  <si>
    <t>10.1038/s41598-019-53562-y</t>
  </si>
  <si>
    <t>https://doi.org/10.1038/s41598-019-53562-y</t>
  </si>
  <si>
    <t>Thoracic immune/hematologic; Cardiac-field irradiation context</t>
  </si>
  <si>
    <t>In vitro + in vivo; KPC and Panc02 pancreatic cancer cells only as off-scope tumor context</t>
  </si>
  <si>
    <t>20-MeV electron</t>
  </si>
  <si>
    <t>Cardiac 2 Gy×5 (10 Gy total); single-fraction cardiac arm reported inconsistently as 8 Gy in text vs 10 Gy in figure; splenic 1 Gy×5 or 5 Gy×1; 35 Gy/s</t>
  </si>
  <si>
    <t>Tumor: Not part of breast-tumor synthesis; Heart: Not directly evaluable as cardiac tissue sparing; Immune: Unfavorable / no FLASH sparing</t>
  </si>
  <si>
    <t>35 vs 0.1 Gy/s; n=5/group; cardiac 2 Gy×5, with single-fraction arm internally reported as 8 vs 10 Gy.</t>
  </si>
  <si>
    <t>S55</t>
  </si>
  <si>
    <t>10.1016/j.heliyon.2024.e40298</t>
  </si>
  <si>
    <t>https://doi.org/10.1016/j.heliyon.2024.e40298</t>
  </si>
  <si>
    <t>In vivo; None – healthy lung</t>
  </si>
  <si>
    <t>Ultra-high-dose-rate X-ray</t>
  </si>
  <si>
    <t>30 Gy or 20 Gy total; 100 or 250 Gy/s</t>
  </si>
  <si>
    <t>Lung: Not directly evaluable versus CONV; within UHDR, 250 Gy/s favored acute sparing over 100 Gy/s</t>
  </si>
  <si>
    <t>100 vs 250 Gy/s; 20 or 30 Gy; 1/2/4 fractions; 30-Gy 250-vs-100 survival p=0.0436.</t>
  </si>
  <si>
    <t>S56</t>
  </si>
  <si>
    <t>10.1016/j.adro.2024.101680</t>
  </si>
  <si>
    <t>https://doi.org/10.1016/j.adro.2024.101680</t>
  </si>
  <si>
    <t>In vivo; 4T1.2 mCherry triple-negative mammary carcinoma in left inguinal mammary gland</t>
  </si>
  <si>
    <t>Synchrotron X-ray microbeam radiation therapy (MRT) and synchrotron broad beam (BB)</t>
  </si>
  <si>
    <t>MRT: 292–300 Gy peak / 6.7–6.9 Gy valley per MRT fraction; BB: 7.8–8.0 Gy per BB fraction; Derived average exposure rate: MRT peak ~1046–1049 Gy/s; MRT valley ~23.8–24.3 Gy/s; BB ~109.6–113.0 Gy/s</t>
  </si>
  <si>
    <t>No conventional comparator / UHDR spatial-fractionation regimen comparison</t>
  </si>
  <si>
    <t>Tumor: Not directly evaluable as dose-rate effect; Lung: Not directly evaluable for normal tissue; Immune: Not directly evaluable as dose-rate effect</t>
  </si>
  <si>
    <t>105 study mice (21/group); MRT ~300-Gy peak/~7-Gy valley; BB ~8 Gy; 3 daily fractions; metastatic burden did not significantly differ among schedules.</t>
  </si>
  <si>
    <t>S57</t>
  </si>
  <si>
    <t>Lenartowicz-Gasik et al.</t>
  </si>
  <si>
    <t>10.24425/mms.2025.155811</t>
  </si>
  <si>
    <t>https://doi.org/10.24425/mms.2025.155811</t>
  </si>
  <si>
    <t>Breast/mammary tumor (cellular); Dosimetry</t>
  </si>
  <si>
    <t>In vitro + dosimetry; HCC38 human breast cancer cells</t>
  </si>
  <si>
    <t>9-MeV electron (IORT AQURE FLASH mode)</t>
  </si>
  <si>
    <t>5, 10, or 15 Gy ×1; 150 Gy/s</t>
  </si>
  <si>
    <t>FLASH-only tumor-cell activity; dose-rate effect not directly evaluable</t>
  </si>
  <si>
    <t>5, 10, 15 Gy at 150 Gy/s; &gt;96% gamma-index agreement; ~90% viability reduction at 15 Gy.</t>
  </si>
  <si>
    <t>S58</t>
  </si>
  <si>
    <t>10.1007/s43657-026-00343-z</t>
  </si>
  <si>
    <t>https://doi.org/10.1007/s43657-026-00343-z</t>
  </si>
  <si>
    <t>Lung; Fibroblast/stromal mechanistic</t>
  </si>
  <si>
    <t>Secondary single-cell analysis + in-vivo histologic validation; None – healthy thoracic irradiation</t>
  </si>
  <si>
    <t>Electron in source datasets/experiments</t>
  </si>
  <si>
    <t>Reused Lu 2025 17.8 Gy ×1; 6-MeV electrons; FLASH 200 Gy/s versus CONV 0.3 Gy/s. Distinct validation; reused data not independent.</t>
  </si>
  <si>
    <t>&gt;0.2 Gy/s for reused source datasets; newly generated histology treated as a distinct validation outcome</t>
  </si>
  <si>
    <t>Lung: Favorable FLASH-associated tissue preservation; Immune: Mechanistic stromal difference; not a formal thoracic immune count</t>
  </si>
  <si>
    <t>Early scRNA-seq: 17.8 Gy at days 1/7 (GSE298566); late scRNA-seq: 13 Gy at 5 months (GSE240510); newly generated H&amp;E/trichrome histology at 3 and 6 months, including n=3/group at 6 months.</t>
  </si>
  <si>
    <t>Internal Covidence #</t>
  </si>
  <si>
    <t>Title</t>
  </si>
  <si>
    <t>Journal</t>
  </si>
  <si>
    <t>Authors</t>
  </si>
  <si>
    <t>Extraction status</t>
  </si>
  <si>
    <t>Verification status</t>
  </si>
  <si>
    <t>Evidence domain(s)</t>
  </si>
  <si>
    <t>Study evidence type</t>
  </si>
  <si>
    <t>Source basis</t>
  </si>
  <si>
    <t>Source URL</t>
  </si>
  <si>
    <t>First author</t>
  </si>
  <si>
    <t>Country/institution</t>
  </si>
  <si>
    <t>Experimental setting</t>
  </si>
  <si>
    <t>Species / strain</t>
  </si>
  <si>
    <t>Sex/age</t>
  </si>
  <si>
    <t>Tumor model/cell line</t>
  </si>
  <si>
    <t>Sample size per arm</t>
  </si>
  <si>
    <t>Irradiated anatomical field</t>
  </si>
  <si>
    <t>Thoracic-field skin?</t>
  </si>
  <si>
    <t>Radiation modality</t>
  </si>
  <si>
    <t>FLASH total dose (Gy)</t>
  </si>
  <si>
    <t>FLASH average dose rate (Gy/s)</t>
  </si>
  <si>
    <t>Dose per pulse (Gy/pulse)</t>
  </si>
  <si>
    <t>Pulse width</t>
  </si>
  <si>
    <t>Pulse repetition frequency (Hz)</t>
  </si>
  <si>
    <t>Irradiation time</t>
  </si>
  <si>
    <t>Number of fractions</t>
  </si>
  <si>
    <t>Field size / beam arrangement</t>
  </si>
  <si>
    <t>Comparator present?</t>
  </si>
  <si>
    <t>Authors’ comparator description</t>
  </si>
  <si>
    <t>CONV total dose (Gy)</t>
  </si>
  <si>
    <t>CONV dose rate (Gy/s)</t>
  </si>
  <si>
    <t>Comparator category</t>
  </si>
  <si>
    <t>Same total dose as FLASH?</t>
  </si>
  <si>
    <t>Same radiation modality?</t>
  </si>
  <si>
    <t>Other major beam differences</t>
  </si>
  <si>
    <t>Tumor outcomes assessed</t>
  </si>
  <si>
    <t>Overall tumor effect FLASH vs CONV</t>
  </si>
  <si>
    <t>Statistically significant tumor difference?</t>
  </si>
  <si>
    <t>Main tumor result/effect estimate</t>
  </si>
  <si>
    <t>Tumor endpoint time point(s)</t>
  </si>
  <si>
    <t>Tumor control maintained with FLASH?</t>
  </si>
  <si>
    <t>Authors’ conclusion regarding tumor efficacy</t>
  </si>
  <si>
    <t>Normal-tissue outcomes assessed</t>
  </si>
  <si>
    <t>Lung endpoint(s)</t>
  </si>
  <si>
    <t>Lung assessment time point(s)</t>
  </si>
  <si>
    <t>Overall lung effect FLASH vs CONV</t>
  </si>
  <si>
    <t>Statistically significant lung difference?</t>
  </si>
  <si>
    <t>Main lung result/effect estimate</t>
  </si>
  <si>
    <t>Heart/cardiac endpoint(s)</t>
  </si>
  <si>
    <t>Overall heart effect FLASH vs CONV</t>
  </si>
  <si>
    <t>Thoracic skin endpoint(s)</t>
  </si>
  <si>
    <t>Overall thoracic-skin effect FLASH vs CONV</t>
  </si>
  <si>
    <t>Thoracic immune/hematologic endpoint(s)</t>
  </si>
  <si>
    <t>Overall immune/hematologic effect FLASH vs CONV</t>
  </si>
  <si>
    <t>Mechanistic pathways assessed</t>
  </si>
  <si>
    <t>Key mechanistic finding</t>
  </si>
  <si>
    <t>Mechanistic direction favors FLASH sparing?</t>
  </si>
  <si>
    <t>Mechanism directly demonstrated or inferred?</t>
  </si>
  <si>
    <t>Relevant molecular markers/genes/proteins</t>
  </si>
  <si>
    <t>Assay/platform used</t>
  </si>
  <si>
    <t>Mechanistic time point(s)</t>
  </si>
  <si>
    <t>Linked / overlapping cohort?</t>
  </si>
  <si>
    <t>Linked study ID(s)</t>
  </si>
  <si>
    <t>Count as independent cohort for this outcome?</t>
  </si>
  <si>
    <t>Publication overlap/data reuse note</t>
  </si>
  <si>
    <t>Overall direction of evidence</t>
  </si>
  <si>
    <t>Major study limitations</t>
  </si>
  <si>
    <t>Relevant for formal biological synthesis?</t>
  </si>
  <si>
    <t>Relevant for planning/translational synthesis?</t>
  </si>
  <si>
    <t>Study quality/confidence</t>
  </si>
  <si>
    <t>Reason for quality/confidence rating</t>
  </si>
  <si>
    <t>One-sentence study conclusion</t>
  </si>
  <si>
    <t>Key result to cite in manuscript</t>
  </si>
  <si>
    <t>Key numerical result / P value / effect estimate</t>
  </si>
  <si>
    <t>Statistical analysis/test used</t>
  </si>
  <si>
    <t>Standardized mechanistic theme(s)</t>
  </si>
  <si>
    <t>#1</t>
  </si>
  <si>
    <t>Favaudon 2014</t>
  </si>
  <si>
    <t>Ultrahigh dose-rate FLASH irradiation increases the differential response between normal and tumor tissue in mice.</t>
  </si>
  <si>
    <t>2014</t>
  </si>
  <si>
    <t>Sci Transl Med</t>
  </si>
  <si>
    <t>Favaudon V; Caplier L; Monceau V; Pouzoulet F; Sayarath M; Fouillade C; Poupon MF; Brito I; Hupé P; Bourhis J; Hall J; Fontaine JJ; Vozenin MC</t>
  </si>
  <si>
    <t>Final extraction complete</t>
  </si>
  <si>
    <t>Final extraction reviewed</t>
  </si>
  <si>
    <t>Direct FLASH-vs-CONV biological study</t>
  </si>
  <si>
    <t>primary article</t>
  </si>
  <si>
    <t>Vincent Favaudon</t>
  </si>
  <si>
    <t>Institut Curie/Gustave Roussy, France; collaborating institutions in France/Switzerland</t>
  </si>
  <si>
    <t>In vivo</t>
  </si>
  <si>
    <t>C57BL/6J; athymic Swiss nu/nu mice</t>
  </si>
  <si>
    <t>Female; ~8 weeks for most experiments (TC-1 arm ~10 weeks)</t>
  </si>
  <si>
    <t>HBCx-12A human triple-negative basal-like breast cancer xenograft; other non-breast tumor models also studied</t>
  </si>
  <si>
    <t>Varied by experiment; lung fibrosis n=5–14/group; tumor xenografts n=6–12/group</t>
  </si>
  <si>
    <t>Bilateral thorax for lung; localized tumor field for HBCx-12A</t>
  </si>
  <si>
    <t>Yes</t>
  </si>
  <si>
    <t>Thorax mainly 15–30 Gy ×1; HBCx-12A 17 Gy total as 2 × 8.5 Gy, 24 h apart</t>
  </si>
  <si>
    <t>~60 Gy/s for principal comparisons; operationally ≥40 Gy/s</t>
  </si>
  <si>
    <t>Not established from available sources</t>
  </si>
  <si>
    <t>FLASH generally &lt;500 ms; experiment-specific</t>
  </si>
  <si>
    <t>Varied: thorax 1; HBCx-12A 2 fractions</t>
  </si>
  <si>
    <t>Bilateral thoracic irradiation; localized HBCx-12A tumor irradiation</t>
  </si>
  <si>
    <t>Conventional dose-rate irradiation</t>
  </si>
  <si>
    <t>Thorax 7.5, 15, or 17 Gy depending on endpoint; HBCx-12A 17 Gy total as 2 × 8.5 Gy</t>
  </si>
  <si>
    <t>~0.03 Gy/s for principal comparisons</t>
  </si>
  <si>
    <t>Mixed / varies by experiment</t>
  </si>
  <si>
    <t>FLASH used 4.5-MeV electrons; principal CONV thorax/HBCx comparisons often used 137Cs γ-rays; some CONV electron comparisons also performed</t>
  </si>
  <si>
    <t>Tumor growth; growth delay; tumor volume</t>
  </si>
  <si>
    <t>Comparable / neutral</t>
  </si>
  <si>
    <t>No</t>
  </si>
  <si>
    <t>HBCx-12A tumor-growth suppression was comparable between FLASH and CONV; FLASH vs CONV P &gt; 0.884</t>
  </si>
  <si>
    <t>Followed for ~46 days after treatment (tumor-growth analysis)</t>
  </si>
  <si>
    <t>FLASH preserved antitumor efficacy while increasing the normal-tissue therapeutic differential</t>
  </si>
  <si>
    <t>Lung/pulmonary injury; pulmonary fibrosis; thoracic skin toxicity; histopathology</t>
  </si>
  <si>
    <t>Pulmonary fibrosis; lung histopathology; TGF-β/SMAD4 activation; acute epithelial/vascular apoptosis</t>
  </si>
  <si>
    <t>Acute ~1–24 h; late 8–36 weeks</t>
  </si>
  <si>
    <t>Favorable FLASH sparing</t>
  </si>
  <si>
    <t>Not reported as a single main comparison</t>
  </si>
  <si>
    <t>17 Gy CONV induced progressive pulmonary fibrosis; 17–20 Gy FLASH showed marked sparing, with major injury requiring substantially higher FLASH doses</t>
  </si>
  <si>
    <t>Not assessed</t>
  </si>
  <si>
    <t>Not directly evaluable</t>
  </si>
  <si>
    <t>Thoracic-field depigmentation/alopecia/cutaneous injury/desquamation/ulceration</t>
  </si>
  <si>
    <t>Not directly evaluable as a dedicated thoracic immune endpoint</t>
  </si>
  <si>
    <t>TGF-β/fibrosis; apoptosis; vascular/endothelial; cytokines/inflammation</t>
  </si>
  <si>
    <t>FLASH attenuated TGF-β/SMAD4 fibrogenic signaling and acute apoptosis in normal thoracic tissues; TNF-α challenge restored apoptosis after FLASH, supporting inflammatory/apoptotic modulation</t>
  </si>
  <si>
    <t>Supported but indirect</t>
  </si>
  <si>
    <t>TGF-β; SMAD4; TNF-α; cleaved caspase-3; TUNEL; annexin V</t>
  </si>
  <si>
    <t>Histology; IHC/IF; imaging; functional assays</t>
  </si>
  <si>
    <t>~1–24 h acute; late fibrosis/pathway follow-up to 24–36 weeks</t>
  </si>
  <si>
    <t>No known overlapping report</t>
  </si>
  <si>
    <t>Not applicable — no linked report identified</t>
  </si>
  <si>
    <t>Foundational independent study</t>
  </si>
  <si>
    <t>Positive / favors FLASH</t>
  </si>
  <si>
    <t>Multiple models/regimens; modality mismatch in some key comparisons; heterogeneous sample sizes; mechanistic causality not definitive</t>
  </si>
  <si>
    <t>Moderate</t>
  </si>
  <si>
    <t>Direct in vivo paired comparisons with long follow-up and histology, but heterogeneous designs and modality mismatch in some comparisons</t>
  </si>
  <si>
    <t>FLASH preserved HBCx-12A breast-tumor efficacy while markedly reducing thoracic lung and skin injury relative to conventional irradiation.</t>
  </si>
  <si>
    <t>Comparable HBCx-12A tumor control with strong pulmonary and thoracic-skin sparing.</t>
  </si>
  <si>
    <t>Tumor xenograft growth analyzed by ANCOVA; TUNEL by Kruskal–Wallis; survival-curve analysis used for TC-1; normal-tissue fibrosis largely histologic/dose-response</t>
  </si>
  <si>
    <t>Immune/inflammatory; Cell death/senescence/cycle; Fibrosis/TGF-β/remodeling</t>
  </si>
  <si>
    <t>#3</t>
  </si>
  <si>
    <t>Lu 2025</t>
  </si>
  <si>
    <t>FLASH Irradiation Modulates Immune Responses and Accelerates Lung Recovery: A Single-Cell Perspective.</t>
  </si>
  <si>
    <t>2025</t>
  </si>
  <si>
    <t>Adv Sci (Weinh)</t>
  </si>
  <si>
    <t>Lu H; Li M; Quan C; Li C; Li D; Li Z; Xu J; Zhang L; Liu Q; Dong G; Wang C</t>
  </si>
  <si>
    <t>Primary full text + GEO; dose-rate stratum corroborated from literature table</t>
  </si>
  <si>
    <t>Hao Lu</t>
  </si>
  <si>
    <t>Beijing Institute of Radiation Medicine; Anhui Medical University, China</t>
  </si>
  <si>
    <t>C57BL/6J mice</t>
  </si>
  <si>
    <t>Male, 8 weeks; ~20 ± 0.9 g</t>
  </si>
  <si>
    <t>None – healthy lung/RILI model</t>
  </si>
  <si>
    <t>Main five groups n=12/group; inhibition experiments n=10/group; scRNA-seq subset requires sample-level confirmation</t>
  </si>
  <si>
    <t>Whole thorax</t>
  </si>
  <si>
    <t>No dedicated skin endpoint</t>
  </si>
  <si>
    <t>17.8 Gy ×1</t>
  </si>
  <si>
    <t>~200 Gy/s</t>
  </si>
  <si>
    <t>1</t>
  </si>
  <si>
    <t>6 MeV electron whole-thorax field, 2.5 cm craniocaudal × 6 cm lateral</t>
  </si>
  <si>
    <t>Conventional dose rate irradiation (CONV)</t>
  </si>
  <si>
    <t>~0.3 Gy/s</t>
  </si>
  <si>
    <t>Same 6 MeV electron platform/field; dose rate/pulse parameters differ</t>
  </si>
  <si>
    <t>Not applicable</t>
  </si>
  <si>
    <t>Not applicable — no tumor-efficacy endpoint</t>
  </si>
  <si>
    <t>Lung/pulmonary injury; immune/inflammatory effects; histology</t>
  </si>
  <si>
    <t>Early RILI cellular composition; neutrophil/monocyte inflammation; epithelial repair; H&amp;E/Masson validation</t>
  </si>
  <si>
    <t>1 and 7 days after irradiation</t>
  </si>
  <si>
    <t>Yes – multiple cellular/validation endpoints</t>
  </si>
  <si>
    <t>FLASH reduced sustained inflammatory responses, including Ccrl2+ neutrophils and pro-inflammatory Mefv+ monocytes, while enhancing reparative AT1 programs</t>
  </si>
  <si>
    <t>Ccrl2+ neutrophils; CD4+CD40L+ Th cells; Mefv+ monocytes; macrophage signaling</t>
  </si>
  <si>
    <t>Favorable FLASH sparing / reparative immune modulation</t>
  </si>
  <si>
    <t>Innate immune; adaptive immune; macrophage/myeloid; cytokines/inflammation; TGF-β/fibrosis; transcriptomics</t>
  </si>
  <si>
    <t>FLASH induced a more transient inflammatory response, reduced pro-inflammatory myeloid recruitment/signaling, enhanced CD4+CD40L+ Th activation, and promoted AT1 TGF-β/EMT repair; CD40L/TGF-β inhibition experiments supported pathway roles</t>
  </si>
  <si>
    <t>Directly demonstrated / functionally supported</t>
  </si>
  <si>
    <t>Ccrl2; Cxcl2/Cxcr2; CD4; CD40L; Mefv; Il1b; CCL/FN1; TGF-β; p-Smad3; Col1a2; Zeb1; Thbs1; Cebpd; Tal1</t>
  </si>
  <si>
    <t>scRNA-seq; IHC/IF; Western blot; ELISA; histology; pathway inhibition; computational cell-cell communication</t>
  </si>
  <si>
    <t>1 and 7 days</t>
  </si>
  <si>
    <t>Yes – source early scRNA-seq dataset later reanalyzed by S58</t>
  </si>
  <si>
    <t>Yes – original/source cohort for GSE298566</t>
  </si>
  <si>
    <t>S2 is the original/source report for early 1- and 7-day lung scRNA-seq dataset GSE298566. S58 reanalyzes this dataset. S40 uses a separate late dataset (GSE240510) and is not the same cohort.</t>
  </si>
  <si>
    <t>Early-phase RILI focus; murine model; complex scRNA inference; exact dose-rate/pulse parameters need Supporting Table S5 confirmation; overlap/data reuse must be handled</t>
  </si>
  <si>
    <t>Large single-cell dataset with orthogonal and inhibitor validation, but acute time window and overlap/data-reuse considerations</t>
  </si>
  <si>
    <t>FLASH reduced early sustained lung inflammation and promoted reparative immune/epithelial programs relative to CONV after 17.8 Gy whole-thorax irradiation.</t>
  </si>
  <si>
    <t>Reduced Ccrl2+ neutrophils/Mefv+ monocyte inflammation with greater CD4+CD40L+ Th activity and AT1 TGF-β/EMT repair.</t>
  </si>
  <si>
    <t>Validation experiments: Shapiro–Wilk; two-tailed Student t test or one-way ANOVA with Tukey; nonparametric tests when appropriate; P&lt;0.05</t>
  </si>
  <si>
    <t>Immune/inflammatory; Fibrosis/TGF-β/remodeling</t>
  </si>
  <si>
    <t>#5</t>
  </si>
  <si>
    <t>Johnson 2025</t>
  </si>
  <si>
    <t>Combined Radiation and Endocrine Therapies Elicit Benefit in ER+ Breast Cancer.</t>
  </si>
  <si>
    <t>Cancers (Basel)</t>
  </si>
  <si>
    <t>Johnson AL; Tau S; Sloop AM; Dai T; Roberts AM; Muskus P; Warren A; Kleist SA; Hampsch RA; Jorns JM; Zhang R; Jarvis LA; Miller TW</t>
  </si>
  <si>
    <t>Direct UHDR-vs-CDR biological study</t>
  </si>
  <si>
    <t>Primary open-access full text</t>
  </si>
  <si>
    <t>A.L. Johnson</t>
  </si>
  <si>
    <t>Dartmouth/Geisel School of Medicine, USA; collaborating US institutions</t>
  </si>
  <si>
    <t>Mixed</t>
  </si>
  <si>
    <t>Female NSG mice for xenografts; human ER+ breast cancer cell lines</t>
  </si>
  <si>
    <t>Female mice; age not clearly reported in extracted text</t>
  </si>
  <si>
    <t>MCF-7, T47D, ZR75-1/Luc; MCF-7/Luc and ZR75-1/Luc mammary-fat-pad xenografts</t>
  </si>
  <si>
    <t>In vitro growth assays in triplicate; in vivo group sizes vary and should be verified from figures/supplement</t>
  </si>
  <si>
    <t>Localized mammary tumor irradiation</t>
  </si>
  <si>
    <t>No dedicated eligible skin endpoint</t>
  </si>
  <si>
    <t>6 Gy ×1 in vitro; 16 Gy ×1 in vivo</t>
  </si>
  <si>
    <t>443 Gy/s MDR (Trilogy) or 704 Gy/s MDR (Mobetron)</t>
  </si>
  <si>
    <t>Derived from pulse trains; exact Gy/pulse not explicitly extracted</t>
  </si>
  <si>
    <t>4 μs (Trilogy); 3.13 μs (Mobetron)</t>
  </si>
  <si>
    <t>360 Hz (Trilogy); 90 Hz (Mobetron)</t>
  </si>
  <si>
    <t>14 pulses at 360 Hz or 4 pulses at 90 Hz; total train duration platform-specific</t>
  </si>
  <si>
    <t>Localized tumor; ~1 cm brass aperture (Trilogy) or 1.6 cm Cerrobend aperture; 5 mm bolus</t>
  </si>
  <si>
    <t>Conventional dose rate (CDR) RT</t>
  </si>
  <si>
    <t>10 Gy/min = 0.167 Gy/s</t>
  </si>
  <si>
    <t>Same electron modality; different delivery platforms/pulse structures used for UHDR</t>
  </si>
  <si>
    <t>Cell growth; tumor growth/regression; regrowth/recurrence; bioluminescence; proliferation; DNA damage</t>
  </si>
  <si>
    <t>Comparable / neutral overall; endocrine-context dependent</t>
  </si>
  <si>
    <t>Mixed / endpoint-dependent</t>
  </si>
  <si>
    <t>CDR and UHDR both suppressed ER+ breast-cancer growth; no consistent superiority by dose rate. Estrogen deprivation modified response, with some model-specific differences in regrowth.</t>
  </si>
  <si>
    <t>In vitro 21-day growth endpoint; in vivo longitudinal growth/regrowth with 24-h tissue analyses</t>
  </si>
  <si>
    <t>Concurrent endocrine and radiation therapies can be advantageous; responses vary by ER+ model and were not consistently dose-rate dependent</t>
  </si>
  <si>
    <t>No breast-relevant normal-tissue organ endpoint</t>
  </si>
  <si>
    <t>Not applicable — no lung outcome assessed</t>
  </si>
  <si>
    <t>Not assessed as primary domain</t>
  </si>
  <si>
    <t>ROS/redox; DNA damage/repair; apoptosis; metabolism</t>
  </si>
  <si>
    <t>Endocrine deprivation increased oxidative stress, and radiation further altered redox state; combined therapy produced model-dependent apoptosis and DNA damage</t>
  </si>
  <si>
    <t>Not applicable to normal-tissue FLASH sparing</t>
  </si>
  <si>
    <t>Directly demonstrated for tumor biology</t>
  </si>
  <si>
    <t>NRF2; GSH/GSSG; NADP/NADPH; γH2AX; annexin V; Ki67</t>
  </si>
  <si>
    <t>Growth assays; Western blot; metabolite/redox assays; flow cytometry; IHC/IF; bioluminescence</t>
  </si>
  <si>
    <t>1 h, 16 h, 72 h, 21 days; in vivo longitudinal plus 24 h tissue</t>
  </si>
  <si>
    <t>No known overlap</t>
  </si>
  <si>
    <t>Independent ER+ breast-cancer study</t>
  </si>
  <si>
    <t>Endocrine-treatment interaction complicates isolated FLASH-vs-CDR interpretation; two UHDR platforms; group sizes vary; normal-tissue sparing not evaluated</t>
  </si>
  <si>
    <t>Direct matched UHDR/CDR comparisons across in vitro and in vivo ER+ models with mechanistic assays, but endocrine context and platform heterogeneity complicate interpretation</t>
  </si>
  <si>
    <t>UHDR and CDR electron RT produced broadly comparable antitumor effects in ER+ breast-cancer models, while endocrine deprivation altered oxidative stress and regrowth responses.</t>
  </si>
  <si>
    <t>Dose rate did not consistently change ER+ tumor control; endocrine therapy was the stronger modifier.</t>
  </si>
  <si>
    <t>Bonferroni-adjusted post-hoc testing reported for multiple cellular endpoints; tumor-growth analyses/model-specific statistics reported in figures</t>
  </si>
  <si>
    <t>ROS/redox/oxygen; DNA damage/sensing; Cell death/senescence/cycle; Mitochondrial/metabolism</t>
  </si>
  <si>
    <t>#7</t>
  </si>
  <si>
    <t>Fouillade 2020</t>
  </si>
  <si>
    <t>FLASH Irradiation Spares Lung Progenitor Cells and Limits the Incidence of Radio-induced Senescence.</t>
  </si>
  <si>
    <t>2020</t>
  </si>
  <si>
    <t>Clin Cancer Res</t>
  </si>
  <si>
    <t>Fouillade C; Curras-Alonso S; Giuranno L; Quelennec E; Heinrich S; Bonnet-Boissinot S; Beddok A; Leboucher S; Karakurt HU; Bohec M; Baulande S; Vooijs M; Verrelle P; Dutreix M; Londoño-Vallejo A; Favaudon V</t>
  </si>
  <si>
    <t>Primary article (Fouillade et al., Clin Cancer Res 2020) and author supplementary PDF S1–S8 verified</t>
  </si>
  <si>
    <t>Charles Fouillade</t>
  </si>
  <si>
    <t>Institut Curie and collaborators, France/Netherlands</t>
  </si>
  <si>
    <t>C57BL/6J; telomerase-deficient Terc−/− mouse experiments</t>
  </si>
  <si>
    <t>Female; ~10–12 weeks in wild-type experiments</t>
  </si>
  <si>
    <t>None – normal lung</t>
  </si>
  <si>
    <t>Varied by endpoint; fibrosis WT CONV n=11, WT FLASH n=8; Terc−/− CONV n=12, FLASH n=8 in results (figure legend lists n=9 for FLASH Terc−/−); EdU &gt;=3 mice/condition; scRNAseq n=3 lungs/condition (figure caption).</t>
  </si>
  <si>
    <t>Bilateral/whole thorax</t>
  </si>
  <si>
    <t>17 Gy × 1 (bilateral thorax, in vivo); 5.2 ± 0.2 Gy × 1 (MRC5, IMR-90, A549 cells); 2 or 4 Gy × 1 (primary bronchial epithelial cells).</t>
  </si>
  <si>
    <t>~60 Gy/s in prior ledger; precise study-specific value not stated in supplied article/S1 supplement; cross-reference original Kinetron dosimetry report before treating as verified.</t>
  </si>
  <si>
    <t>Not stated numerically for these experiments in supplied primary article/supplement; general pulse examples in introduction are not study-specific.</t>
  </si>
  <si>
    <t>Not stated numerically for these experiments in supplied primary article/supplement.</t>
  </si>
  <si>
    <t>Bilateral thorax, 4.5-MeV Kinetron electron LINAC; FLASH 100–220 mA cathode current, CONV 80 µA; incident/exit dose ratio 1.11 ± 0.01; EBT3 film verification. Field dimensions not supplied here.</t>
  </si>
  <si>
    <t>17 Gy × 1 (thorax); 5.2 ± 0.2 Gy (fibroblast/A549); 2 or 4 Gy (primary epithelial cells).</t>
  </si>
  <si>
    <t>~0.03 Gy/s in prior ledger; precise study-specific value not stated in supplied article/S1 supplement. CONV cathode current 80 µA is not a dose rate.</t>
  </si>
  <si>
    <t>Yes / some platform details require confirmation</t>
  </si>
  <si>
    <t>Dose rate/pulse structure and cathode current differ (FLASH 100–220 mA vs CONV 80 µA); exact dose-per-pulse, frequency and irradiation time not numerically specified in supplied article/supplement.</t>
  </si>
  <si>
    <t>Lung/pulmonary injury; pulmonary fibrosis; histopathology; progenitor-cell response</t>
  </si>
  <si>
    <t>Persistent 53BP1 DNA damage; progenitor-cell regeneration; senescence; TGF-β-related fibrotic remodeling</t>
  </si>
  <si>
    <t>~1 week, ~12 weeks and late fibrosis follow-up</t>
  </si>
  <si>
    <t>Yes – multiple mechanistic and histologic endpoints</t>
  </si>
  <si>
    <t>FLASH reduced persistent DNA damage and senescence, preserved lung progenitor function, and reduced late fibrotic remodeling; protection was impaired in telomerase-deficient mice</t>
  </si>
  <si>
    <t>Inflammatory/senescent lung microenvironment assessed indirectly</t>
  </si>
  <si>
    <t>DNA damage/repair; senescence; TGF-β/fibrosis; progenitor-cell regeneration; transcriptomics</t>
  </si>
  <si>
    <t>FLASH limited persistent 53BP1 DNA-damage foci and radiation-induced senescence while preserving progenitor-cell regenerative capacity; telomerase competence influenced sparing</t>
  </si>
  <si>
    <t>Supported but indirect / genetically supported</t>
  </si>
  <si>
    <t>53BP1; senescence-associated markers; TGF-β-related signals; telomerase/Terc context</t>
  </si>
  <si>
    <t>IHC/IF; histology; transcriptomics; progenitor-cell functional assays</t>
  </si>
  <si>
    <t>Acute ~1 week; late ~12 weeks and beyond</t>
  </si>
  <si>
    <t>No known data reuse with other included report</t>
  </si>
  <si>
    <t>Same broad Curie FLASH program as Favaudon but distinct experiments/publication</t>
  </si>
  <si>
    <t>Complex multiexperiment study; some details require primary full-text verification; mechanistic causality multifactorial</t>
  </si>
  <si>
    <t>Strong in-vivo mechanistic lung study with genetic context and long-term outcomes; detailed regimen/sample extraction not established from available sources</t>
  </si>
  <si>
    <t>FLASH reduced persistent DNA damage and senescence, preserved lung progenitor function, and limited fibrotic remodeling after thoracic irradiation.</t>
  </si>
  <si>
    <t>17 Gy FLASH produced less persistent 53BP1 damage and senescence than isodose CONV, with late lung sparing dependent in part on telomerase competence.</t>
  </si>
  <si>
    <t>Core comparison: 17 Gy; FLASH ~60 Gy/s vs CONV ~0.03 Gy/s</t>
  </si>
  <si>
    <t>Multiple groupwise comparisons reported; exact test-by-endpoint not established from available sources</t>
  </si>
  <si>
    <t>DNA damage/sensing; Cell death/senescence/cycle; Fibrosis/TGF-β/remodeling</t>
  </si>
  <si>
    <t>#9</t>
  </si>
  <si>
    <t>Tessonnier 2021</t>
  </si>
  <si>
    <t>FLASH Dose Rate Helium Ion Beams: First In Vitro Investigations.</t>
  </si>
  <si>
    <t>2021</t>
  </si>
  <si>
    <t>Int J Radiat Oncol Biol Phys</t>
  </si>
  <si>
    <t>Tessonnier T; Mein S; Walsh DWM; Schuhmacher N; Liew H; Cee R; Galonska M; Scheloske S; Schömers C; Weber U; Brons S; Debus J; Haberer T; Abdollahi A; Mairani A; Dokic I</t>
  </si>
  <si>
    <t>Direct UHDR-vs-standard dose-rate biological study</t>
  </si>
  <si>
    <t>Primary journal abstract/methods</t>
  </si>
  <si>
    <t>Thomas Tessonnier</t>
  </si>
  <si>
    <t>Heidelberg University Hospital / Heidelberg Ion-Beam Therapy Center, Germany</t>
  </si>
  <si>
    <t>In vitro</t>
  </si>
  <si>
    <t>N/A – human cell lines/primary human pulmonary fibroblasts</t>
  </si>
  <si>
    <t>Not applicable — non-animal study</t>
  </si>
  <si>
    <t>A549 and H1437 lung cancer cell lines; primary human pulmonary fibroblasts for DNA-damage endpoint</t>
  </si>
  <si>
    <t>Replicate numbers not extracted from abstract; details not established from available sources</t>
  </si>
  <si>
    <t>N/A – in vitro lung cell irradiation</t>
  </si>
  <si>
    <t>No dedicated thoracic-skin endpoint</t>
  </si>
  <si>
    <t>2–12 Gy ×1</t>
  </si>
  <si>
    <t>185 Gy/s average achieved</t>
  </si>
  <si>
    <t>N/A for raster-scanned ion delivery; details not established from available sources</t>
  </si>
  <si>
    <t>N/A; details not established from available sources</t>
  </si>
  <si>
    <t>Dose/scan dependent; details not established from available sources</t>
  </si>
  <si>
    <t>Raster-scanned 10 × 10 mm² fields; LET 4.5–16 keV/μm</t>
  </si>
  <si>
    <t>Standard dose rate (SDR)</t>
  </si>
  <si>
    <t>0.12 Gy/s</t>
  </si>
  <si>
    <t>Same helium-ion modality; dose rate differed; oxygen and LET deliberately varied</t>
  </si>
  <si>
    <t>Clonogenic survival in lung-cancer cell lines (non-breast tumor; contextual only)</t>
  </si>
  <si>
    <t>Not applicable to breast-tumor denominator</t>
  </si>
  <si>
    <t>Condition-dependent</t>
  </si>
  <si>
    <t>No UHDR/SDR difference under normoxia; at 1% O2 and ≥8 Gy, uHDR increased survival in lung-cancer cell lines</t>
  </si>
  <si>
    <t>Clonogenic endpoint; exact colony timing not established from available sources</t>
  </si>
  <si>
    <t>FLASH-like cell sparing required hypoxia and higher dose in this in-vitro helium-ion system</t>
  </si>
  <si>
    <t>Lung/pulmonary cellular DNA-damage endpoint</t>
  </si>
  <si>
    <t>γH2AX radiation-induced nuclear foci in primary pulmonary fibroblasts; cellular survival context</t>
  </si>
  <si>
    <t>Early γH2AX endpoint; exact timing not established from available sources</t>
  </si>
  <si>
    <t>Mixed / condition-dependent</t>
  </si>
  <si>
    <t>Yes under hypoxia/high-dose conditions; no difference under normoxia/low dose</t>
  </si>
  <si>
    <t>No dose-rate effect at 21% O2; at 1% O2 and ≥8 Gy, uHDR was associated with higher survival and reduced γH2AX signal</t>
  </si>
  <si>
    <t>Oxygen depletion/hypoxia; DNA damage/repair</t>
  </si>
  <si>
    <t>Oxygenation and dose strongly modified the cell-sparing phenotype; reduced γH2AX under hypoxic high-dose uHDR supported altered DNA-damage response</t>
  </si>
  <si>
    <t>γH2AX</t>
  </si>
  <si>
    <t>Clonogenic survival; IHC/IF for γH2AX</t>
  </si>
  <si>
    <t>Independent helium-ion study</t>
  </si>
  <si>
    <t>In vitro; pulmonary fibroblast outcome limited to DNA damage; lung cancer cell lines are not breast tumor evidence; FLASH effect depended on hypoxia/high dose</t>
  </si>
  <si>
    <t>Well-defined dose-rate/LET/oxygen experiment with direct comparator, but in vitro and strongly condition-dependent</t>
  </si>
  <si>
    <t>Helium-ion uHDR produced no sparing under normoxia but showed a hypoxia- and dose-dependent cell-sparing/DNA-damage phenotype at ≥8 Gy.</t>
  </si>
  <si>
    <t>Sparing emerged at 1% O2 and ≥8 Gy, not at 21% O2.</t>
  </si>
  <si>
    <t>ROS/redox/oxygen; DNA damage/sensing</t>
  </si>
  <si>
    <t>#11</t>
  </si>
  <si>
    <t>Hao 2026</t>
  </si>
  <si>
    <t>Preclinical validation of a clinical prototype of intraoperative electron FLASH radiotherapy equipment: key evidence for a new radiotherapy paradigm</t>
  </si>
  <si>
    <t>2026</t>
  </si>
  <si>
    <t>Radiation Oncology</t>
  </si>
  <si>
    <t>Hao, X.; Du, H.; Lin, B.; Xia, Y.; Tang, M.; Wu, W.; Wang, D.; Zhu, Y.; Zhang, Y.; Wang, J.; Yang, Y.; Wu, D.; Du, X.</t>
  </si>
  <si>
    <t>Xiaofei Hao</t>
  </si>
  <si>
    <t>Mianyang Central Hospital/University of Electronic Science and Technology of China and collaborators, China</t>
  </si>
  <si>
    <t>Healthy female C57BL/6 mice; 4T1 breast tumor-bearing mice (other tumor models also studied)</t>
  </si>
  <si>
    <t>Female for healthy C57BL/6 cohort; exact tumor-model ages not established from available sources</t>
  </si>
  <si>
    <t>4T1 breast cancer; U87-MG and PAN02 non-breast models also studied</t>
  </si>
  <si>
    <t>4T1: n=7/group; whole-thorax: n=10/group; other cohorts vary</t>
  </si>
  <si>
    <t>Localized 4T1 tumor; whole thorax</t>
  </si>
  <si>
    <t>No – dedicated skin experiment used right leg and is out of strict skin scope</t>
  </si>
  <si>
    <t>4T1 10 Gy ×1; thorax 30 Gy ×1 (actual UHDR 30.73±0.74 Gy)</t>
  </si>
  <si>
    <t>192 Gy/s (4T1); 473 Gy/s (thorax)</t>
  </si>
  <si>
    <t>UHDR 9 MeV electrons; 2×2 cm² tumor field; 3×2 cm² thorax field; SSD 50 cm</t>
  </si>
  <si>
    <t>CONV-RT</t>
  </si>
  <si>
    <t>4T1 ~10.30 Gy; thorax 30 Gy ×1</t>
  </si>
  <si>
    <t>0.07 Gy/s</t>
  </si>
  <si>
    <t>Yes (within &lt;5% actual dose difference)</t>
  </si>
  <si>
    <t>Yes – electron modality, but different linac/energy</t>
  </si>
  <si>
    <t>UHDR used 9 MeV CPIO-EFLASH; CONV used clinical 6 MeV Elekta Infinity; field geometries also differed</t>
  </si>
  <si>
    <t>Tumor growth/volume; tumor weight; apoptosis; proliferation; DNA damage</t>
  </si>
  <si>
    <t>No FLASH-vs-CONV difference</t>
  </si>
  <si>
    <t>4T1 tumor growth and weight were similarly suppressed by UHDR and CONV; FLASH-vs-CONV tumor volume P&gt;0.05</t>
  </si>
  <si>
    <t>~30 days post irradiation; endpoint tissue assays</t>
  </si>
  <si>
    <t>UHDR preserved antitumor efficacy across tested tumors</t>
  </si>
  <si>
    <t>Lung/pulmonary injury; pulmonary fibrosis; survival; histopathology</t>
  </si>
  <si>
    <t>120-day survival; acute H&amp;E lung injury at 72 h; late Masson fibrosis</t>
  </si>
  <si>
    <t>72 h; 120 days</t>
  </si>
  <si>
    <t>Yes for survival/acute lung injury; late fibrosis not statistically tested</t>
  </si>
  <si>
    <t>Thoracic UHDR improved 120-day survival (80% vs 10%) and reduced acute lung injury; late fibrosis appeared milder but was not statistically analyzed due one CONV survivor</t>
  </si>
  <si>
    <t>Dedicated right-leg skin experiment only – excluded from thoracic skin synthesis</t>
  </si>
  <si>
    <t>Not directly evaluable for thoracic skin</t>
  </si>
  <si>
    <t>Not a dedicated thoracic immune study</t>
  </si>
  <si>
    <t>DNA damage/repair; apoptosis; proliferation; fibrosis/histopathology</t>
  </si>
  <si>
    <t>Normal-tissue sparing was demonstrated phenotypically; tumor TUNEL/γH2AX/Ki67 showed preserved tumor cytotoxicity rather than a definitive normal-tissue mechanism</t>
  </si>
  <si>
    <t>Yes for tissue sparing; mechanism not definitive</t>
  </si>
  <si>
    <t>TUNEL; γH2AX; Ki67; Masson collagen</t>
  </si>
  <si>
    <t>Histology; IHC/IF; survival; tumor-volume tracking</t>
  </si>
  <si>
    <t>72 h and late 120-day lung; tumor endpoint ~30 days</t>
  </si>
  <si>
    <t>Independent platform-validation study</t>
  </si>
  <si>
    <t>Different UHDR vs CONV machines/energies/field geometries; thoracic actual doses differed slightly; late fibrosis comparison limited by CONV mortality</t>
  </si>
  <si>
    <t>Yes – prototype/platform validation also relevant</t>
  </si>
  <si>
    <t>Direct in-vivo tumor and lung comparison with strong survival/histology endpoints, but modality-delivery confounding and attrition limit some late endpoints</t>
  </si>
  <si>
    <t>Electron UHDR maintained 4T1 tumor control while improving survival and reducing acute lung injury after whole-thorax irradiation.</t>
  </si>
  <si>
    <t>4T1 control comparable; thorax 120-day survival 80% UHDR vs 10% CONV, P&lt;0.001.</t>
  </si>
  <si>
    <t>Group comparisons and Kaplan–Meier analyses reported; acute lung injury differences P&lt;0.001; tumor UHDR vs CONV P&gt;0.05</t>
  </si>
  <si>
    <t>#12</t>
  </si>
  <si>
    <t>Lu 2026</t>
  </si>
  <si>
    <t>FLASH radiotherapy preserves hepatic function and maintains metabolic homeostasis in a murine breast cancer model: an experimental preclinical study</t>
  </si>
  <si>
    <t>Lu, X.; Xie, D.; Cui, L.; Shang, H.; Zhou, L.</t>
  </si>
  <si>
    <t>Xingyu Lu</t>
  </si>
  <si>
    <t>Southern Medical University/Guangdong Provincial People’s Hospital, China; UT Southwestern collaborator, USA</t>
  </si>
  <si>
    <t>BALB/c mice</t>
  </si>
  <si>
    <t>Female; ~4 weeks at acquisition, 1 week acclimatization</t>
  </si>
  <si>
    <t>Syngeneic 4T1 breast tumor, right axillary region</t>
  </si>
  <si>
    <t>36 total; n=12/group randomized (Sham, CONV, FLASH); terminal n=8–10/group</t>
  </si>
  <si>
    <t>Localized right axillary tumor; liver outside primary aperture</t>
  </si>
  <si>
    <t>20 Gy ×1 nominal</t>
  </si>
  <si>
    <t>625 Gy/s</t>
  </si>
  <si>
    <t>6 MeV electron, dorsal-to-ventral, 1×1 cm aperture aligned to right axillary tumor</t>
  </si>
  <si>
    <t>0.54 Gy/s</t>
  </si>
  <si>
    <t>Nominally yes; measured physical dose modestly higher in FLASH</t>
  </si>
  <si>
    <t>Same 6 MeV electron modality; different delivery kinetics; measured physical dose modestly higher in FLASH</t>
  </si>
  <si>
    <t>Tumor growth/kinetics; survival</t>
  </si>
  <si>
    <t>No meaningful FLASH-vs-CONV tumor efficacy difference reported</t>
  </si>
  <si>
    <t>Both modalities yielded comparable 4T1 tumor-growth inhibition and survival, interpreted as biologically isoeffective</t>
  </si>
  <si>
    <t>14-day monitoring / humane endpoint</t>
  </si>
  <si>
    <t>FLASH maintained tumor control while reducing hepatic injury</t>
  </si>
  <si>
    <t>Out-of-scope collateral liver endpoints only</t>
  </si>
  <si>
    <t>No eligible thoracic immune endpoint</t>
  </si>
  <si>
    <t>ROS/redox; cytokines/inflammation; apoptosis; fibrosis; metabolism/metabolomics (liver, outside strict normal-tissue scope)</t>
  </si>
  <si>
    <t>FLASH attenuated oxidative stress, inflammatory activation, hepatocellular apoptosis and early pro-fibrotic signaling in liver; these normal-tissue findings are outside the formal breast-relevant organ denominator</t>
  </si>
  <si>
    <t>Not applicable to formal normal-tissue synthesis; supportive collateral biology</t>
  </si>
  <si>
    <t>Directly demonstrated in liver</t>
  </si>
  <si>
    <t>NLRP3/inflammatory markers; oxidative-stress markers; apoptosis markers; α-SMA/Nestin; metabolomics</t>
  </si>
  <si>
    <t>Histology; IHC; serum biochemistry; oxidative-stress assays; UPLC-MS/MS metabolomics</t>
  </si>
  <si>
    <t>14-day acute study</t>
  </si>
  <si>
    <t>Independent 4T1 breast-tumor study</t>
  </si>
  <si>
    <t>Comparable / neutral tumor efficacy; collateral liver sparing</t>
  </si>
  <si>
    <t>14-day follow-up; liver outside primary field and outside strict formal organ scope; modest physical-dose mismatch; no a priori power calculation</t>
  </si>
  <si>
    <t>Yes – breast tumor</t>
  </si>
  <si>
    <t>Randomized direct breast-tumor comparison with detailed normal-tissue assays, but short follow-up and dose mismatch; formal synthesis should not count liver as breast-relevant organ</t>
  </si>
  <si>
    <t>FLASH and CONV produced comparable 4T1 tumor control at nominal 20 Gy, with liver-sparing findings treated as out-of-scope collateral biology.</t>
  </si>
  <si>
    <t>Breast-tumor efficacy was comparable despite FLASH 625 Gy/s versus CONV 0.54 Gy/s.</t>
  </si>
  <si>
    <t>Study reports groupwise tumor/survival and biochemical/metabolomic analyses; exact test list can be copied from Methods if needed</t>
  </si>
  <si>
    <t>ROS/redox/oxygen; Immune/inflammatory; Cell death/senescence/cycle; Fibrosis/TGF-β/remodeling; Mitochondrial/metabolism</t>
  </si>
  <si>
    <t>#13</t>
  </si>
  <si>
    <t>Jiang 2026</t>
  </si>
  <si>
    <t>Response of MRC-5 human lung fibroblasts to FLASH and conventional radiotherapy: A study on differential DNA damage and transcriptomic response</t>
  </si>
  <si>
    <t>Computational Biology and Chemistry</t>
  </si>
  <si>
    <t>Jiang, Y.; Wang, X.; Yang, C.; Wu, J.; Chen, Y.; Li, J.; Wang, Q.; Zhu, W.</t>
  </si>
  <si>
    <t>Primary ScienceDirect/PubMed article text</t>
  </si>
  <si>
    <t>Yi Jiang</t>
  </si>
  <si>
    <t>Mianyang Central Hospital / Southwest University of Science and Technology, China</t>
  </si>
  <si>
    <t>N/A – MRC-5 human lung fibroblasts</t>
  </si>
  <si>
    <t>None – MRC-5 normal human lung fibroblasts</t>
  </si>
  <si>
    <t>N/A – in vitro lung fibroblasts</t>
  </si>
  <si>
    <t>At least 8 and 12 Gy; transcriptomics after 8 Gy</t>
  </si>
  <si>
    <t>94 Gy/s</t>
  </si>
  <si>
    <t>In vitro X-ray irradiation</t>
  </si>
  <si>
    <t>Conventional (CONV) X-ray irradiation</t>
  </si>
  <si>
    <t>Matched doses; at least 8 and 12 Gy</t>
  </si>
  <si>
    <t>0.1 Gy/s</t>
  </si>
  <si>
    <t>Same X-ray modality; dose rate differs</t>
  </si>
  <si>
    <t>Lung/pulmonary cellular injury; DNA damage; transcriptomic response</t>
  </si>
  <si>
    <t>γH2AX/phospho-53BP1 DSB foci; transcriptomic DDR response; RT-qPCR core genes</t>
  </si>
  <si>
    <t>DSB foci 30, 60, 120 min; transcriptomics 48 h after 8 Gy</t>
  </si>
  <si>
    <t>At 8 and 12 Gy, FLASH produced fewer early DSB foci and a transcriptomic state closer to nonirradiated cells than CONV</t>
  </si>
  <si>
    <t>Inflammatory gene pathways at cellular level</t>
  </si>
  <si>
    <t>Favorable/attenuated injury signature</t>
  </si>
  <si>
    <t>DNA damage/repair; cell cycle/checkpoint; senescence; cytokines/inflammation; transcriptomics</t>
  </si>
  <si>
    <t>FLASH reduced early detectable DSB burden and attenuated downregulation of core DDR/cell-cycle genes, producing a transcriptomic profile closer to unirradiated cells</t>
  </si>
  <si>
    <t>Directly demonstrated at cellular/molecular level</t>
  </si>
  <si>
    <t>γH2AX; phospho-53BP1; CCNA2; CCNB1; CCNB2; RAD51; EXO1; BIRC5; BUB1; CDC6; CDC20</t>
  </si>
  <si>
    <t>IHC/IF; confocal imaging; RNA-seq; PPI network analysis; RT-qPCR</t>
  </si>
  <si>
    <t>30–120 min; 48 h</t>
  </si>
  <si>
    <t>Independent MRC-5 X-ray study</t>
  </si>
  <si>
    <t>In vitro only; no organ-level lung injury; replicate counts and detailed beam pulse parameters need verification</t>
  </si>
  <si>
    <t>Direct matched dose-rate comparison with orthogonal DNA-damage/transcriptomic validation; cell-level model limits tissue inference</t>
  </si>
  <si>
    <t>X-ray FLASH reduced early DNA damage and preserved a more normal-like DDR transcriptomic profile in MRC-5 lung fibroblasts versus CONV.</t>
  </si>
  <si>
    <t>Fewer phospho-53BP1/γH2AX DSB foci at 8–12 Gy and less extensive DDR-gene downregulation after FLASH.</t>
  </si>
  <si>
    <t>Immune/inflammatory; DNA damage/sensing; Cell death/senescence/cycle</t>
  </si>
  <si>
    <t>#15</t>
  </si>
  <si>
    <t>Arrigo 2026</t>
  </si>
  <si>
    <t>FLASH radiation therapy mitigates immunogenic and pro-fibrotic transcriptomic responses in healthy lung tissue</t>
  </si>
  <si>
    <t>Radiotherapy and Oncology</t>
  </si>
  <si>
    <t>Arrigo, A.; Brants, L.; Vanreusel, V.; Stevens, P.; Colijn, A.; Meijnders, P.; Verellen, D.; Poortmans, P.; Wouters, A.; Gasparini, A.; Montay-Gruel, P.</t>
  </si>
  <si>
    <t>Source-checked against full text and uploaded supplement (12 Oct 2026)</t>
  </si>
  <si>
    <t>Primary full article (Radiother Oncol 2026, 222:111689), accompanying supplementary methods/Table S1 and figures, source-checked 2026-10-12.</t>
  </si>
  <si>
    <t>Adrien Arrigo</t>
  </si>
  <si>
    <t>University of Antwerp / Iridium Netwerk, Belgium</t>
  </si>
  <si>
    <t>Female, 8 weeks</t>
  </si>
  <si>
    <t>None – healthy lung; conducted within breast-cancer research project</t>
  </si>
  <si>
    <t>37 female C57BL/6J total: unirradiated n=9; 17.5 Gy FLASH n=14; 17.5 Gy CONV n=14. Endpoint/timepoint subsets not specified in summary.</t>
  </si>
  <si>
    <t>Thorax/lung</t>
  </si>
  <si>
    <t>17.5 Gy × 1, whole thorax (Dmax at 5 mm)</t>
  </si>
  <si>
    <t>Single 17.5 Gy FLASH pulse: mean dose rate NA in Supplementary Table S1; instantaneous 5.22 × 10^6 Gy/s (supplement). Main text reports 6.1 × 10^6 Gy/s as mean rate; conflicting rate labels/values — retain source-specific reporting.</t>
  </si>
  <si>
    <t>17.5 Gy/pulse (FLASH); CONV 0.118 Gy/pulse</t>
  </si>
  <si>
    <t>FLASH 3.3 µs (effective); CONV 1.0 µs</t>
  </si>
  <si>
    <t>FLASH 100 Hz setting (single pulse); CONV 2 Hz</t>
  </si>
  <si>
    <t>FLASH 3.3 × 10^-6 s; CONV 74 s</t>
  </si>
  <si>
    <t>9 MeV ElectronFLASH (SIT/Sordina), 18-mm circular applicator, whole thorax; SSD FLASH 54 cm and CONV 68.6 cm; 17.5 Gy prescribed at Dmax (5 mm)</t>
  </si>
  <si>
    <t>CONV 0.238 Gy/s (main article); 0.24 Gy/s (supplement); same 17.5 Gy dose</t>
  </si>
  <si>
    <t>17.5 Gy × 1</t>
  </si>
  <si>
    <t>0.238 Gy/s (main text); 0.24 Gy/s (Supplementary Table S1)</t>
  </si>
  <si>
    <t>FLASH single 17.5 Gy pulse, 3.3 µs, SSD 54 cm; CONV 148 pulses, 1.0 µs, 2 Hz, SSD 68.6 cm. Source discrepancy: FLASH rate is labeled 6.1 × 10^6 Gy/s mean in article versus 5.22 × 10^6 Gy/s instantaneous in supplement.</t>
  </si>
  <si>
    <t>Lung transcriptomic inflammatory/pro-fibrotic response</t>
  </si>
  <si>
    <t>Bulk RNA-seq; chemokine/NFKB1 inflammatory signaling; macrophage activation/chemotaxis/differentiation; pro-fibrotic transcription</t>
  </si>
  <si>
    <t>24 h and 2 weeks</t>
  </si>
  <si>
    <t>Yes at transcriptomic/pathway level</t>
  </si>
  <si>
    <t>FLASH produced markedly less early transcriptomic activation, did not induce acute chemokine enrichment associated with NFKB1, and prevented sustained pro-fibrotic/macrophage activation programs</t>
  </si>
  <si>
    <t>Macrophage activation, chemotaxis/differentiation; inflammatory chemokine/NF-κB programs</t>
  </si>
  <si>
    <t>Macrophage/myeloid; cytokines/inflammation; TGF-β/fibrosis; transcriptomics; metabolism/cytoskeleton</t>
  </si>
  <si>
    <t>FLASH attenuated acute NFKB1-associated chemokine transcription and prevented sustained macrophage/pro-fibrotic gene activation at 2 weeks</t>
  </si>
  <si>
    <t>NFKB1; chemokine genes; macrophage activation/chemotaxis genes; pro-fibrotic gene sets</t>
  </si>
  <si>
    <t>Bulk RNA-seq; pathway enrichment</t>
  </si>
  <si>
    <t>24 h; 2 weeks</t>
  </si>
  <si>
    <t>Same research program; no confirmed same-animal reuse with TNBC paper</t>
  </si>
  <si>
    <t>S11 (related program; likely separate cohorts)</t>
  </si>
  <si>
    <t>Yes for lung outcome</t>
  </si>
  <si>
    <t>Healthy C57BL/6J lung cohort differs from TNBC tumor cohorts; treat as independent lung evidence unless primary methods show sample reuse</t>
  </si>
  <si>
    <t>Short communication; n=37 allocated control 9/FLASH 14/CONV 14, but endpoint-specific allocation not fully specified; lung collagen at 3.5 months showed nonsignificant trend (P=0.39 FLASH vs CONV). Transcriptomic changes need protein-level validation; rate terminology inconsistent across source files.</t>
  </si>
  <si>
    <t>Direct in-vivo whole-thoracic comparison (n=37) with dosimetry and transcriptomics at 24 h/2 weeks; fibrotic histology at 3.5 months nonsignificant. Distinguish exploratory mechanistic results from confirmed fibrosis sparing.</t>
  </si>
  <si>
    <t>After 17.5 Gy thoracic irradiation, FLASH attenuated acute inflammatory and sustained pro-fibrotic transcriptomic responses in healthy lung compared with CONV.</t>
  </si>
  <si>
    <t>CONV uniquely upregulated 50 and downregulated 27 genes at 24 h versus FLASH 6 and 10, respectively; 3.5-month collagen difference FLASH vs CONV not statistically significant (P=0.39).</t>
  </si>
  <si>
    <t>17.5 Gy ×1; FLASH 1 pulse ×17.5 Gy, 3.3 µs (instantaneous 5.22×10^6 Gy/s); CONV 148 pulses ×0.118 Gy, 74 s, 0.24 Gy/s; n=9 control,14/arm. Main article reports FLASH 6.1×10^6 Gy/s; supplementary 5.22×10^6 Gy/s (different rate definitions).</t>
  </si>
  <si>
    <t>RNA-seq DESeq2 Wald test; gene set enrichment analysis (BigOmics); Masson trichrome: Kruskal–Wallis followed by Dunn multiple comparisons.</t>
  </si>
  <si>
    <t>Immune/inflammatory; Fibrosis/TGF-β/remodeling; Mitochondrial/metabolism</t>
  </si>
  <si>
    <t>#21</t>
  </si>
  <si>
    <t>Tsubouchi 2026</t>
  </si>
  <si>
    <t>For ultra-high dose rate carbon-ion irradiation, comparable beam parameters induce the equivalent cell sparing (FLASH) effect</t>
  </si>
  <si>
    <t>Journal of radiation research</t>
  </si>
  <si>
    <t>Tsubouchi, K.; Yoshida, Y.; Yagi, M.; Minami, K.; Suda, H.; Nakao, M.; Yusa, K.; Tashiro, M.; Shimizu, S.; Ohno, T.; Ogawa, K.</t>
  </si>
  <si>
    <t>Direct UHDR-vs-normal dose-rate biological study</t>
  </si>
  <si>
    <t>Primary Oxford Academic/PMC article</t>
  </si>
  <si>
    <t>Kento Tsubouchi</t>
  </si>
  <si>
    <t>University of Osaka; Gunma University Heavy Ion Medical Center, Japan; National Cancer Centre Singapore</t>
  </si>
  <si>
    <t>N/A – human cell lines</t>
  </si>
  <si>
    <t>Nuli-1 human bronchial epithelial; HDF human dermal fibroblasts; HSGc-C5 salivary gland cells</t>
  </si>
  <si>
    <t>N/A – in vitro normal lung-cell model</t>
  </si>
  <si>
    <t>N/A – HDF is generic dermal fibroblast, not thoracic skin</t>
  </si>
  <si>
    <t>7 Gy ×1</t>
  </si>
  <si>
    <t>100 Gy/s</t>
  </si>
  <si>
    <t>Raster-scanned ion delivery; not applicable as electron-style pulse metric</t>
  </si>
  <si>
    <t>N/A / scan-specific</t>
  </si>
  <si>
    <t>Dose/scan dependent; beam parameters matched across facility replication</t>
  </si>
  <si>
    <t>Comparable scan patterns; LETd 16.3 and 50 keV/μm</t>
  </si>
  <si>
    <t>Normal dose rate (NDR)</t>
  </si>
  <si>
    <t>1 Gy/s</t>
  </si>
  <si>
    <t>Same carbon-ion modality; average dose rate differed; LET and scan pattern controlled</t>
  </si>
  <si>
    <t>Non-breast HSGc-C5 cellular response only; not breast-tumor evidence</t>
  </si>
  <si>
    <t>Lung/bronchial cellular survival and DNA damage</t>
  </si>
  <si>
    <t>Nuli-1 clonogenic survival; γH2AX DNA damage</t>
  </si>
  <si>
    <t>Clonogenic and early DNA-damage endpoints; exact timing not established from available sources</t>
  </si>
  <si>
    <t>Yes – cell-sparing/DNA-damage differences, LET-dependent</t>
  </si>
  <si>
    <t>Nuli-1 showed increased survival and less DNA damage with 100 Gy/s carbon-ion uHDR, enhanced at higher LET</t>
  </si>
  <si>
    <t>HDF dermal fibroblasts studied but not eligible thoracic skin</t>
  </si>
  <si>
    <t>Not directly evaluable for formal thoracic skin synthesis</t>
  </si>
  <si>
    <t>DNA damage/repair; beam-parameter/LET dependence</t>
  </si>
  <si>
    <t>Equivalent beam parameters reproduced cell sparing across machines; Nuli-1/HDF showed less γH2AX and higher survival, with stronger effect at higher LET</t>
  </si>
  <si>
    <t>Directly demonstrated at cellular level</t>
  </si>
  <si>
    <t>Clonogenic survival; immunofluorescence</t>
  </si>
  <si>
    <t>Related replication, not same cohort</t>
  </si>
  <si>
    <t>Independent cross-facility replication of Minami S32 conditions; do not treat as data reuse</t>
  </si>
  <si>
    <t>In vitro; NDR comparator 1 Gy/s is above conventional stratum; no organ-level lung endpoint; LET-dependent effect</t>
  </si>
  <si>
    <t>Well-controlled interfacility replication with matched physical parameters and direct cellular endpoints; limited to in-vitro systems</t>
  </si>
  <si>
    <t>Carbon-ion uHDR at 100 Gy/s reproducibly spared Nuli-1 bronchial epithelial cells relative to 1 Gy/s NDR, with stronger sparing at higher LET.</t>
  </si>
  <si>
    <t>Higher Nuli-1 survival and lower γH2AX under uHDR, especially at LETd 50 keV/μm.</t>
  </si>
  <si>
    <t>#23</t>
  </si>
  <si>
    <t>FLASH radiotherapy induces unique immunotranscriptomic profiles compared to conventional dose-rate radiotherapy, despite identical immune infiltration and antitumor efficacy in a murine model of triple-negative breast cancer</t>
  </si>
  <si>
    <t>Arrigo, A.; Brants, L.; Kramp, L.; Vanreusel, V.; Stevens, P.; Colijn, A.; Hermans, C.; Meijnders, P.; Verellen, D.; Poortmans, P.; Audenaerde, J.V.; Wouters, A.; Gasparini, A.; Montay-Gruel, P.</t>
  </si>
  <si>
    <t>Primary PubMed/Radiotherapy &amp; Oncology article</t>
  </si>
  <si>
    <t>BALB/c and Swiss nude mice</t>
  </si>
  <si>
    <t>Female; age not established from available sources</t>
  </si>
  <si>
    <t>Subcutaneous/orthotopic 4T1 and MDA-MB-231 TNBC models</t>
  </si>
  <si>
    <t>Localized breast/mammary tumor</t>
  </si>
  <si>
    <t>No dedicated eligible skin endpoint in this report</t>
  </si>
  <si>
    <t>14 or 20 Gy ×1; 5×5.2 Gy; 10×3 Gy</t>
  </si>
  <si>
    <t>Reported 5–5.79 ×10^6 Gy/s; details not established from available sources</t>
  </si>
  <si>
    <t>1, 5, or 10</t>
  </si>
  <si>
    <t>Subcutaneous/orthotopic tumor irradiation; exact field geometry not established from available sources</t>
  </si>
  <si>
    <t>Matched 14 or 20 Gy ×1; 5×5.2 Gy; 10×3 Gy</t>
  </si>
  <si>
    <t>0.2 Gy/s</t>
  </si>
  <si>
    <t>Electron FLASH vs CONV delivery; pulse/rate details need full text</t>
  </si>
  <si>
    <t>Tumor growth/growth delay; immune infiltration; transcriptomics</t>
  </si>
  <si>
    <t>No – all regimens iso-effective for tumor-growth delay</t>
  </si>
  <si>
    <t>FLASH and CONV were iso-effective in delaying tumor growth across single and fractionated TNBC regimens</t>
  </si>
  <si>
    <t>Tumor growth longitudinal; 4T1 tissues at 24 h, 5 days, 2 weeks</t>
  </si>
  <si>
    <t>FLASH and CONV were equally effective for TNBC growth delay but produced distinct immunotranscriptomic profiles</t>
  </si>
  <si>
    <t>No eligible normal-tissue organ endpoint</t>
  </si>
  <si>
    <t>Tumor immune infiltration; chemokines; type I/II IFN signaling; negative inflammatory regulators</t>
  </si>
  <si>
    <t>Mixed / immunotranscriptomically distinct without infiltration difference</t>
  </si>
  <si>
    <t>Type I interferon; adaptive immune; innate immune; cytokines/inflammation; transcriptomics</t>
  </si>
  <si>
    <t>FLASH preserved CXCL9/10/11 and IFN-α/γ signaling transcription while also preserving negative IFN/inflammatory regulators; histology/flow showed no immune-infiltration difference</t>
  </si>
  <si>
    <t>Mixed / tumor-context</t>
  </si>
  <si>
    <t>CXCL9; CXCL10; CXCL11; IFN-α/γ pathway; ISGF3; PD-L1; IL18BP</t>
  </si>
  <si>
    <t>Bulk RNA-seq; histology; flow cytometry; tumor-growth tracking</t>
  </si>
  <si>
    <t>24 h; 5 days; 2 weeks</t>
  </si>
  <si>
    <t>Related program, likely independent tumor cohorts</t>
  </si>
  <si>
    <t>S9 (same research program, different healthy-lung cohort)</t>
  </si>
  <si>
    <t>Yes for tumor outcome</t>
  </si>
  <si>
    <t>Do not merge with S9; different biological question/cohort, though same research program</t>
  </si>
  <si>
    <t>Comparable / neutral tumor efficacy with distinct mechanism</t>
  </si>
  <si>
    <t>No normal-tissue sparing endpoint in this paper; sample sizes and exact rate definitions need full-text verification; very high reported dose-rate definition needs clarification</t>
  </si>
  <si>
    <t>Multiple TNBC models/regimens with direct CONV comparator and multi-omic/immune assays; normal-tissue therapeutic-ratio inference relies on other studies</t>
  </si>
  <si>
    <t>FLASH and CONV produced equivalent TNBC tumor-growth delay across single and fractionated regimens despite distinct immunotranscriptomic responses.</t>
  </si>
  <si>
    <t>All tested regimens were iso-effective; FLASH preserved CXCL9/10/11 and IFN signaling without altering immune-cell infiltration.</t>
  </si>
  <si>
    <t>Transcriptomic GSEA/NES and study-specific tumor-growth analyses; exact tests/n not established from available sources</t>
  </si>
  <si>
    <t>#38</t>
  </si>
  <si>
    <t>Shao 2026</t>
  </si>
  <si>
    <t>Nanosecond Laser-Driven Proton FLASH Spares Normal Tissue Cells by Sustaining Mitochondrial Homeostasis and Attenuating Ferroptosis</t>
  </si>
  <si>
    <t>iMed</t>
  </si>
  <si>
    <t>Shao, C.; Zhang, Y.; He, P.; Yu, X.; Peng, W.; Chen, J.; Hu, H.; Wang, Y.; Xiao, M.; Liu, C.; Sui, L.; Dai, T.; Mu, X.; Jia, X.; Bin, J.; Huang, Q.</t>
  </si>
  <si>
    <t>Peer-reviewed primary full text (iMed); supersedes bioRxiv preprint</t>
  </si>
  <si>
    <t>Changsheng Shao</t>
  </si>
  <si>
    <t>Chinese Academy of Sciences; Shandong University; University of Science and Technology of China; Shanghai Proton and Heavy Ion Center; collaborating institutions, China</t>
  </si>
  <si>
    <t>A549 human lung adenocarcinoma; BEAS-2B normal human bronchial epithelial cells</t>
  </si>
  <si>
    <t>All experiments used at least 3 independent biological replicates; assay-specific n varied</t>
  </si>
  <si>
    <t>N/A – in vitro cell irradiation</t>
  </si>
  <si>
    <t>2, 5, and 10 Gy</t>
  </si>
  <si>
    <t>1.94×10^7 Gy/s instantaneous dose rate</t>
  </si>
  <si>
    <t>0.25 Gy/shot</t>
  </si>
  <si>
    <t>12.9 ns</t>
  </si>
  <si>
    <t>0.1 Hz</t>
  </si>
  <si>
    <t>Discrete 12.9-ns pulses; total delivery time dose-dependent because shots were delivered at 0.1 Hz</t>
  </si>
  <si>
    <t>1 experimental irradiation session</t>
  </si>
  <si>
    <t>Cell monolayers on custom Mylar-bottom dishes in laser-plasma proton beamline</t>
  </si>
  <si>
    <t>Conventional proton radiotherapy (CONV-RT)</t>
  </si>
  <si>
    <t>0.08 Gy/s</t>
  </si>
  <si>
    <t>LPA-FLASH used ~7-MeV laser-driven protons; CONV used a 221-MeV clinical proton beam degraded to the cell layer. Beamline, temporal structure, and deposited energy spectra differed.</t>
  </si>
  <si>
    <t>Clonogenic survival of A549 lung cancer cells (non-breast tumor; contextual only)</t>
  </si>
  <si>
    <t>Not directly evaluable for breast-tumor synthesis</t>
  </si>
  <si>
    <t>No for A549 contextual comparison</t>
  </si>
  <si>
    <t>A549 survival was comparable between LPA-FLASH and CONV; LQ α=0.46 vs 0.55 Gy^-1, p&gt;0.05. This lung-cancer result is not counted in the breast-tumor denominator.</t>
  </si>
  <si>
    <t>Colonies assessed 10–14 days after irradiation</t>
  </si>
  <si>
    <t>Not applicable to formal breast-tumor synthesis</t>
  </si>
  <si>
    <t>Tumoricidal efficacy against A549 was maintained under LPA-FLASH compared with CONV.</t>
  </si>
  <si>
    <t>Normal lung epithelial-cell survival; DNA damage; oxidative stress; ferroptosis; mitochondrial integrity/function</t>
  </si>
  <si>
    <t>BEAS-2B clonogenic survival; γH2AX; ROS/lipid peroxidation/Fe2+; ATF3; mitochondrial structure, ATP and membrane potential</t>
  </si>
  <si>
    <t>γH2AX 0.5 h; ROS 1 h; LPO/Fe2+/ATP/MMP approximately 4 h; clonogenic survival 10–14 days</t>
  </si>
  <si>
    <t>BEAS-2B showed marked FLASH sparing: α=0.052 vs 0.47 Gy^-1 for CONV (p&lt;0.001), with less oxidative/ferroptotic injury and preserved mitochondrial structure/function.</t>
  </si>
  <si>
    <t>ROS/redox; DNA damage; ferroptosis; mitochondrial function; ATF3 stress response; SLC7A11/GSH axis</t>
  </si>
  <si>
    <t>LPA-FLASH reduced ATF3-linked ferroptotic stress in normal BEAS-2B cells, limiting lipid peroxidation/iron accumulation and preserving mitochondrial cristae and bioenergetic function relative to CONV.</t>
  </si>
  <si>
    <t>γH2AX; ATF3; SLC7A11; GSH; ROS; lipid peroxidation; Fe2+; ATP; mitochondrial membrane potential</t>
  </si>
  <si>
    <t>Clonogenic assay; immunofluorescence; flow cytometry; confocal microscopy; TEM; 3D light-sheet imaging; mitochondrial functional assays</t>
  </si>
  <si>
    <t>0.5–4 h for acute molecular/mitochondrial assays; 10–14 days for clonogenic endpoint</t>
  </si>
  <si>
    <t>Yes – preprint superseded by peer-reviewed article</t>
  </si>
  <si>
    <t>bioRxiv DOI 10.64898/2026.03.13.711531 (same report/preprint)</t>
  </si>
  <si>
    <t>Yes – count peer-reviewed article once; do not count preprint separately</t>
  </si>
  <si>
    <t>Covidence record was the bioRxiv preprint. A peer-reviewed iMed version was published 13 July 2026 within the review window and supersedes it.</t>
  </si>
  <si>
    <t>In vitro only; FLASH and CONV proton beamlines/energies differed substantially; cellular endpoints do not establish organ-level sparing.</t>
  </si>
  <si>
    <t>Direct physical-dose-matched proton comparison with multiple mechanistic assays and replicated experiments, but limited to cell culture and different beam configurations.</t>
  </si>
  <si>
    <t>Laser-driven proton FLASH selectively spared normal bronchial epithelial cells while maintaining A549 lung-cancer cell killing, associated with reduced ferroptotic stress and preserved mitochondrial homeostasis.</t>
  </si>
  <si>
    <t>BEAS-2B radiosensitivity α decreased from 0.47 Gy^-1 with CONV to 0.052 Gy^-1 with LPA-FLASH (p&lt;0.001), while A549 α values were not significantly different.</t>
  </si>
  <si>
    <t>One-way ANOVA with Tukey post-hoc tests or Student t-tests; all experiments ≥3 independent biological replicates.</t>
  </si>
  <si>
    <t>#39</t>
  </si>
  <si>
    <t>Lin 2026</t>
  </si>
  <si>
    <t>FLASH Radiation Therapy Using High-Energy X-Rays: Validation of the Flash Effect Triggered by a Compact Device</t>
  </si>
  <si>
    <t>International Journal of Radiation Oncology Biology Physics</t>
  </si>
  <si>
    <t>Lin, B.; Du, H.; Yang, Y.; Hao, X.; Gao, F.; Liang, Y.; Tang, W.; Xu, H.; Tang, M.; Liao, Y.; Wang, D.; Zhu, Y.; Wang, T.; Gu, R.; Mao, X.; He, Y.; Zhang, Y.; Li, J.; Zhou, Z.; Wang, J.; Wu, D.; Du, X.</t>
  </si>
  <si>
    <t>Primary Red Journal/ScienceDirect full text</t>
  </si>
  <si>
    <t>Binwei Lin</t>
  </si>
  <si>
    <t>Mianyang Central Hospital / University of Electronic Science and Technology of China; China Academy of Engineering Physics, China</t>
  </si>
  <si>
    <t>C57BL/6J and BALB/c mice; formal breast-relevant normal-tissue extraction uses healthy C57BL/6J thorax model</t>
  </si>
  <si>
    <t>Female; irradiated at approximately 7–9 weeks</t>
  </si>
  <si>
    <t>CT26 and LLC tumor models were included study-wide but are non-breast; formal review contribution is thoracic normal lung</t>
  </si>
  <si>
    <t>Whole-thorax groups at start: control n=22; FLASH1 n=22; FLASH3 n=19; CONV n=22. Three/group were sacrificed at 24, 72, and 120 h for histology; remaining mice entered survival follow-up.</t>
  </si>
  <si>
    <t>30 Gy total: FLASH1 as one delivery; FLASH3 as 10 Gy × 3 deliveries separated by two 30-s pauses within one treatment</t>
  </si>
  <si>
    <t>340 Gy/s for thoracic irradiation (CHEXs; study-wide 244–388 Gy/s depending model/geometry)</t>
  </si>
  <si>
    <t>FLASH1 one uninterrupted delivery; FLASH3 included two 30-s pauses between three identical deliveries</t>
  </si>
  <si>
    <t>1 treatment session; FLASH3 split into 3 same-session deliveries (not separate-day fractions)</t>
  </si>
  <si>
    <t>Whole-thorax field approximately 2 cm craniocaudal × 3 cm lateral; upper boundary below ear edge</t>
  </si>
  <si>
    <t>Conventional dose-rate radiation therapy</t>
  </si>
  <si>
    <t>30 Gy × 1</t>
  </si>
  <si>
    <t>CHEXs FLASH used 10-MV X-rays; Methods report 6-MV CONV for the thorax comparison. A figure caption may list 10 MV for CONV; retain as a source inconsistency requiring final check.</t>
  </si>
  <si>
    <t>Study-wide CT26/LLC tumor response; non-breast and not included in breast-tumor denominator</t>
  </si>
  <si>
    <t>Non-breast CT26/LLC models showed broadly comparable tumor control across FLASH and CONV; contextual only.</t>
  </si>
  <si>
    <t>Not extracted for formal breast synthesis</t>
  </si>
  <si>
    <t>CHEXs FLASH maintained tumor control in the non-breast tumor models tested; not counted as breast-tumor evidence.</t>
  </si>
  <si>
    <t>Lung/pulmonary injury; histopathology; survival/toxicity</t>
  </si>
  <si>
    <t>Survival; H&amp;E lung histology; alveolar number and alveolar area</t>
  </si>
  <si>
    <t>24, 72, and 120 h for histology; survival followed to 98 days</t>
  </si>
  <si>
    <t>At 98 days survival was 86.4% with FLASH1, 50% with FLASH3, and 0% with CONV; lung histology also favored FLASH, with uninterrupted delivery generally more protective than paused delivery.</t>
  </si>
  <si>
    <t>Dedicated skin experiment used thigh/inguinal irradiation and is excluded from the review's thoracic-skin denominator.</t>
  </si>
  <si>
    <t>Not a primary formal endpoint in the thoracic normal-tissue arm</t>
  </si>
  <si>
    <t>Histopathologic tissue injury; beam-time-structure dependence</t>
  </si>
  <si>
    <t>Two 30-s pauses attenuated but did not abolish the thoracic FLASH-sparing phenotype, supporting dependence on temporal delivery structure rather than a dedicated molecular mechanism.</t>
  </si>
  <si>
    <t>Exploratory/hypothesis-generating</t>
  </si>
  <si>
    <t>None required for formal thoracic extraction</t>
  </si>
  <si>
    <t>Survival; H&amp;E histology; quantitative alveolar morphometry; dosimetry/beam characterization</t>
  </si>
  <si>
    <t>24–120 h for lung histology; 98-day survival</t>
  </si>
  <si>
    <t>No specific reused cohort identified.</t>
  </si>
  <si>
    <t>High single thoracic dose; FLASH1/FLASH3 test delivery structure rather than conventional clinical fractionation; non-breast tumor models; potential 6-MV vs 10-MV CONV description inconsistency.</t>
  </si>
  <si>
    <t>Direct in-vivo thoracic comparison with survival and histology plus characterized CHEXs beam delivery, but interpretation is affected by extreme dose and beam-energy/reporting differences.</t>
  </si>
  <si>
    <t>Compact high-energy X-ray FLASH improved survival and reduced acute thoracic lung injury relative to CONV, while 30-s delivery pauses partially weakened the sparing effect.</t>
  </si>
  <si>
    <t>After 30-Gy whole-thorax irradiation, 98-day survival was 86.4% for uninterrupted FLASH and 50% for paused FLASH versus 0% for CONV.</t>
  </si>
  <si>
    <t>Log-rank analysis for survival; one-way ANOVA/group comparisons for quantitative lung histology.</t>
  </si>
  <si>
    <t>Not coded</t>
  </si>
  <si>
    <t>#40</t>
  </si>
  <si>
    <t>Araya 2026</t>
  </si>
  <si>
    <t>DNA damage and cell death induced by exposure to ultra-high dose rate low-dose pulsed X-rays emitted from a kilojoule plasma focus device</t>
  </si>
  <si>
    <t>Biological research</t>
  </si>
  <si>
    <t>Araya, H.; Jain, J.; Andaur, R.; Moreno, J.; Davis, S.; Diaz, P.; Velásquez, E.; Orellana, J.; Ríos, M.; Toro, J.; Orellana-Serradell, O.; Fierro, C.; Soto, L.; Marcelain, K.</t>
  </si>
  <si>
    <t>UHDR-only/parameter biological study for breast arm; mixed study overall</t>
  </si>
  <si>
    <t>Primary Biological Research full text</t>
  </si>
  <si>
    <t>Héctor Araya</t>
  </si>
  <si>
    <t>Chilean Nuclear Energy Commission; University of Chile; collaborating Chilean institutions</t>
  </si>
  <si>
    <t>N/A – human cancer cell lines</t>
  </si>
  <si>
    <t>MCF-7 breast adenocarcinoma (formal breast arm); HCT116 and DLD1 colorectal cancer cells also studied</t>
  </si>
  <si>
    <t>MCF-7 experiments reported 3 independent experiments; cell seeding/assay-level technical replicates varied</t>
  </si>
  <si>
    <t>~0.25 Gy total</t>
  </si>
  <si>
    <t>~10^7 Gy/min (~1.67×10^5 Gy/s) reported UHDR</t>
  </si>
  <si>
    <t>0.025 Gy/pulse</t>
  </si>
  <si>
    <t>Order of ~100 ns for the device class; exact PF-2 kJ pulse width in this experiment not explicitly extracted – not established from available sources Table 1</t>
  </si>
  <si>
    <t>Not periodic; 10 pulses separated by approximately 15–20 s</t>
  </si>
  <si>
    <t>10 pulses separated by 15–20 s</t>
  </si>
  <si>
    <t>1 irradiation session</t>
  </si>
  <si>
    <t>In-vitro exposure using PF-2 kJ plasma-focus pulsed X-ray source</t>
  </si>
  <si>
    <t>Yes – study overall; no matched CONV arm shown for the MCF-7 breast experiment</t>
  </si>
  <si>
    <t>Conventional X-rays in colorectal experiments; MCF-7 breast arm compared primarily with unirradiated control</t>
  </si>
  <si>
    <t>~0.3 Gy in study-wide conventional experiments</t>
  </si>
  <si>
    <t>0.5 Gy/min = 0.00833 Gy/s</t>
  </si>
  <si>
    <t>No – ~0.25 Gy UHDR vs ~0.3 Gy conventional in study-wide comparisons</t>
  </si>
  <si>
    <t>Yes – X-rays</t>
  </si>
  <si>
    <t>PF pulsed X-rays were low-energy (~8–15 keV) with extreme temporal compression; conventional irradiation used a 180-kV X-ray source. The MCF-7 breast arm lacked a contemporaneous matched CONV group.</t>
  </si>
  <si>
    <t>MCF-7 viability; cell-cycle distribution; apoptosis/SubG1</t>
  </si>
  <si>
    <t>Not applicable for a direct MCF-7 FLASH-vs-CONV comparison</t>
  </si>
  <si>
    <t>In MCF-7 cells, pulsed UHDR X-rays reduced viability by about 38% at 24 h and increased SubG1/apoptotic cells, but no matched MCF-7 CONV arm was shown.</t>
  </si>
  <si>
    <t>Viability 24, 48, and 72 h; cell cycle 0, 24, 48, and 72 h</t>
  </si>
  <si>
    <t>Not applicable – no in-vivo tumor-control experiment</t>
  </si>
  <si>
    <t>Low-dose pulsed UHDR X-rays induced apoptosis in radioresistant MCF-7 cells, supporting cytotoxic potential but not a direct FLASH-vs-CONV breast comparison.</t>
  </si>
  <si>
    <t>Not formally breast-relevant in this study</t>
  </si>
  <si>
    <t>Apoptosis; cell cycle/checkpoint response in MCF-7; DNA damage and transcriptional responses studied mainly in colorectal lines</t>
  </si>
  <si>
    <t>The breast-specific MCF-7 data demonstrate increased SubG1/apoptosis and altered cell-cycle distribution after pulsed UHDR exposure. γH2AX/p53/RNA-seq findings were generated mainly in colorectal lines and should not be attributed to MCF-7.</t>
  </si>
  <si>
    <t>Not applicable – tumor cytotoxicity study</t>
  </si>
  <si>
    <t>MCF-7: cell-cycle/SubG1 endpoints; do not assign colorectal γH2AX/p53 transcriptomic findings to breast cells</t>
  </si>
  <si>
    <t>Cell viability assay; flow-cytometric cell-cycle analysis; study-wide immunofluorescence/transcriptomic assays</t>
  </si>
  <si>
    <t>0–72 h</t>
  </si>
  <si>
    <t>Yes – as a UHDR-only breast-cell experiment</t>
  </si>
  <si>
    <t>No specific reused breast dataset identified.</t>
  </si>
  <si>
    <t>Very low total dose; in vitro only; MCF-7 lacked a matched CONV arm; FLASH and study-wide CONV beam energies and delivered doses differed.</t>
  </si>
  <si>
    <t>Yes – UHDR-only breast stratum, not direct-comparator denominator</t>
  </si>
  <si>
    <t>Low for direct breast FLASH-vs-CONV inference</t>
  </si>
  <si>
    <t>Peer-reviewed mechanistic study with replicated MCF-7 experiments, but the breast arm does not contain a matched conventional comparator and uses an unusually low dose.</t>
  </si>
  <si>
    <t>Low-dose PF-generated UHDR pulsed X-rays induced apoptosis and loss of viability in MCF-7 breast cancer cells, but the breast arm cannot establish a FLASH-versus-CONV effect.</t>
  </si>
  <si>
    <t>MCF-7 viability fell by approximately 38% at 24 h after ~0.25-Gy pulsed UHDR exposure, with increased SubG1/apoptotic cells; no matched MCF-7 CONV comparison was available.</t>
  </si>
  <si>
    <t>MCF-7 experiments included Student t-tests; study-wide analyses also used one-way ANOVA with Tukey post-hoc testing.</t>
  </si>
  <si>
    <t>DNA damage/sensing; Cell death/senescence/cycle</t>
  </si>
  <si>
    <t>#42</t>
  </si>
  <si>
    <t>Ghita-Pettigrew 2026</t>
  </si>
  <si>
    <t>Photon FLASH spares radiation-induced changes in cardiac function, remodelling and arrythmia in a preclinical model</t>
  </si>
  <si>
    <t>Ghita-Pettigrew, M.; Brown, K.H.; Kerr, B.N.; Walls, G.M.; Verginadis, I.I.; Adrian, G.; Petersson, K.; McMahon, S.J.; Butterworth, K.T.</t>
  </si>
  <si>
    <t>Primary Radiotherapy &amp; Oncology article</t>
  </si>
  <si>
    <t>Mihaela Ghita-Pettigrew</t>
  </si>
  <si>
    <t>Queen’s University Belfast, UK; University of Pennsylvania, USA; Lund University, Sweden; University of Oxford, UK</t>
  </si>
  <si>
    <t>C57BL/6 mice</t>
  </si>
  <si>
    <t>Female; approximately 8 weeks</t>
  </si>
  <si>
    <t>None – normal cardiac irradiation model</t>
  </si>
  <si>
    <t>n=8/group initially; CONV attrition occurred early (4/8 removed around day 10 for weight-loss/toxicity concerns) – retain as limitation</t>
  </si>
  <si>
    <t>Whole heart</t>
  </si>
  <si>
    <t>18.5±0.6 Gy</t>
  </si>
  <si>
    <t>85.6±1.6 Gy/s (isocentre 75.9±1.5 Gy/s)</t>
  </si>
  <si>
    <t>Single FLASH exposure; split-dose arm used two consecutive pulses separated by several seconds</t>
  </si>
  <si>
    <t>Whole-heart irradiation through approximately 10-mm aperture</t>
  </si>
  <si>
    <t>Conventional SARRP irradiation; study also included FLASH split-dose (FSD) arm</t>
  </si>
  <si>
    <t>20.1±0.5 Gy</t>
  </si>
  <si>
    <t>3.4±0.2 Gy/min = 0.0567±0.0033 Gy/s</t>
  </si>
  <si>
    <t>FLASH and CONV used different SARRP implementations/beam structures. FSD delivered 18.6±0.4 Gy in two consecutive pulses at 2.8±0.9 Gy/s average.</t>
  </si>
  <si>
    <t>Cardiac function; remodeling; arrhythmia; myocardial fibrosis; serum injury biomarkers; inflammatory cytokines</t>
  </si>
  <si>
    <t>Not assessed as primary endpoint</t>
  </si>
  <si>
    <t>Transthoracic echocardiography (GLS, MPI, EF, FS, E/A, IVRT); ECG/arrhythmia; remodeling; myocardial fibrosis; serum cardiac injury/inflammatory markers</t>
  </si>
  <si>
    <t>Serum inflammatory cytokines relevant to cardiac injury</t>
  </si>
  <si>
    <t>Favorable FLASH-associated inflammatory profile</t>
  </si>
  <si>
    <t>Cytokines/inflammation; TGF-β/fibrosis/remodeling</t>
  </si>
  <si>
    <t>Cardiac functional preservation after FLASH was accompanied by less myocardial fibrosis and lower cardiac-injury/inflammatory cytokine signatures than CONV/FSD, supporting a dose-rate/beam-structure-dependent protective phenotype.</t>
  </si>
  <si>
    <t>Serum cardiac-injury biomarkers and inflammatory/fibrotic cytokines; exact marker panel in article</t>
  </si>
  <si>
    <t>Echocardiography; ECG; histology/Masson-type fibrosis assessment; serum biomarker/cytokine analysis</t>
  </si>
  <si>
    <t>10 and 30 weeks for echocardiography; 30 weeks for histology/serum analyses</t>
  </si>
  <si>
    <t>FLASH and CONV were not strictly isodose; early CONV attrition may bias late comparisons; single high-dose whole-heart model.</t>
  </si>
  <si>
    <t>Direct long-term in-vivo cardiac comparison with functional, electrophysiologic, histologic and serum endpoints, tempered by non-isodose exposure and differential attrition.</t>
  </si>
  <si>
    <t>Whole-heart photon FLASH preserved cardiac function and reduced remodeling, arrhythmia and fibrosis relative to conventional irradiation, with sparing dependent on average dose rate and beam structure.</t>
  </si>
  <si>
    <t>At 30 weeks, FLASH significantly reduced radiation-induced cardiac dysfunction, remodeling and arrhythmia and produced less myocardial fibrosis and inflammatory biomarker elevation than CONV.</t>
  </si>
  <si>
    <t>Endpoint-specific group comparisons reported in the primary article; details not established from available sources.</t>
  </si>
  <si>
    <t>#44</t>
  </si>
  <si>
    <t>Lee 2026</t>
  </si>
  <si>
    <t>Localized normal tissue-sparing effects of proton FLASH radiotherapy in a preclinical lung irradiation model</t>
  </si>
  <si>
    <t>The British journal of radiology</t>
  </si>
  <si>
    <t>Lee, S.E.; Sheen, H.; Kim, Y.; Cho, S.; Ahn, S.H.; Sasai, K.; Kamiguchi, N.; Inoue, J.; Amano, D.; Park, H.C.; Han, Y.; Choi, C.</t>
  </si>
  <si>
    <t>Primary PubMed/British Journal of Radiology article</t>
  </si>
  <si>
    <t>Sung Eun Lee</t>
  </si>
  <si>
    <t>Samsung Medical Center / Sungkyunkwan University, Republic of Korea; Sumitomo Heavy Industries, Japan</t>
  </si>
  <si>
    <t>Mice/C57BL/6</t>
  </si>
  <si>
    <t>Female/7 weeks</t>
  </si>
  <si>
    <t>None – localized normal-lung irradiation model</t>
  </si>
  <si>
    <t>Localized left lung / focal thoracic proton field</t>
  </si>
  <si>
    <t>Yes – skin endpoints within thoracic/left-lung irradiation field</t>
  </si>
  <si>
    <t>60 Gy</t>
  </si>
  <si>
    <t>500 Gy/s</t>
  </si>
  <si>
    <t>Single exposure reported; details not established from available sources</t>
  </si>
  <si>
    <t>Localized spot-size transmission proton irradiation of the left lung; exact field dimensions not established from available sources</t>
  </si>
  <si>
    <t>Conventional dose-rate proton irradiation</t>
  </si>
  <si>
    <t>2 Gy/s</t>
  </si>
  <si>
    <t>Same proton modality with major dose-rate/time-structure difference; detailed beam energy/spot delivery parameters not established from available sources.</t>
  </si>
  <si>
    <t>Pulmonary pneumonitis/fibrosis; thoracic skin injury; systemic inflammatory/immune markers; oxidative stress</t>
  </si>
  <si>
    <t>Pneumonitis and fibrosis; histopathologic lung injury</t>
  </si>
  <si>
    <t>Serial/late assessment reported; exact time points not established from available sources</t>
  </si>
  <si>
    <t>Yes – reported in article</t>
  </si>
  <si>
    <t>Localized proton FLASH reduced pneumonitis and fibrosis and showed faster resolution of lung injury than the 2-Gy/s comparator.</t>
  </si>
  <si>
    <t>Not a reported primary endpoint</t>
  </si>
  <si>
    <t>Epidermal thickening and dermal fibrosis within the localized thoracic irradiation field</t>
  </si>
  <si>
    <t>Neutrophil-to-lymphocyte ratio; serum IL-6, TNF-α, IFN-γ; inflammatory/oxidative-stress markers</t>
  </si>
  <si>
    <t>ROS/redox; oxidative stress; innate inflammation; cytokines/inflammation</t>
  </si>
  <si>
    <t>FLASH was associated with lower oxidative-stress/inflammatory signaling, including reduced Nrf2 activation, 8-OHdG and MPO, together with lower systemic inflammatory markers.</t>
  </si>
  <si>
    <t>Nrf2; 8-OHdG; MPO; IL-6; TNF-α; IFN-γ; neutrophil-to-lymphocyte ratio</t>
  </si>
  <si>
    <t>Histology; flow cytometry/hematology; serum cytokine assays/ELISA; oxidative-stress marker assays</t>
  </si>
  <si>
    <t>Very high localized dose; comparator dose rate (2 Gy/s) exceeds the review's ≤0.2-Gy/s conventional stratum; detailed beam/mouse/timepoint not established from available sources</t>
  </si>
  <si>
    <t>Direct localized in-vivo proton comparison with lung, skin and inflammatory endpoints, but current extraction lacks full Method-level verification and uses a &gt;0.2-Gy/s comparator.</t>
  </si>
  <si>
    <t>Localized proton FLASH reduced pulmonary, thoracic-skin and systemic inflammatory injury relative to a 2-Gy/s proton comparator after focal lung irradiation.</t>
  </si>
  <si>
    <t>At an isodose 60 Gy, 500-Gy/s proton FLASH produced less pneumonitis/fibrosis and less epidermal/dermal injury than 2-Gy/s proton irradiation.</t>
  </si>
  <si>
    <t>60 Gy at 500 Gy/s (FLASH) versus 60 Gy at 2 Gy/s (comparator); exact endpoint effect sizes/P values not established from available sources.</t>
  </si>
  <si>
    <t>ROS/redox/oxygen; Immune/inflammatory</t>
  </si>
  <si>
    <t>#47</t>
  </si>
  <si>
    <t>Guo 2026</t>
  </si>
  <si>
    <t>Molecular Mechanisms of FLASH Radiotherapy in Alleviating Lung Normal Tissue Injury: Insights from Single-Cell Sequencing</t>
  </si>
  <si>
    <t>Radiation Research</t>
  </si>
  <si>
    <t>Guo, Z.; Luo, Y.; Wang, J.</t>
  </si>
  <si>
    <t>Ziyang Guo</t>
  </si>
  <si>
    <t>Orthotopic lung-tumor molecular response (non-breast; contextual only)</t>
  </si>
  <si>
    <t>Tumor scRNA-seq showed stress/autophagy/apoptosis/mitochondrial and ATP/PI3K-Akt/cell-cycle programs; lung-tumor efficacy is contextual only.</t>
  </si>
  <si>
    <t>Not applicable to breast-tumor synthesis</t>
  </si>
  <si>
    <t>Normal-lung cellular states; immune microenvironment; epithelial apoptosis; oxidative stress; mitochondrial function</t>
  </si>
  <si>
    <t>Single-cell transcriptional response in normal lung; immune regulation; epithelial apoptosis; oxidative-stress and mitochondrial-homeostasis signatures</t>
  </si>
  <si>
    <t>ROS/redox; apoptosis; mitochondrial function; innate/adaptive immune signaling; metabolism; transcriptomics</t>
  </si>
  <si>
    <t>Single-cell sequencing implicated preservation of mitochondrial homeostasis and attenuation of oxidative stress/epithelial apoptosis in normal lung after FLASH, with distinct tumor stress and metabolic responses.</t>
  </si>
  <si>
    <t>Yes – normal lung</t>
  </si>
  <si>
    <t>ROS/redox/oxygen; Immune/inflammatory; Cell death/senescence/cycle; Mitochondrial/metabolism</t>
  </si>
  <si>
    <t>#48</t>
  </si>
  <si>
    <t>Engels 2026</t>
  </si>
  <si>
    <t>Is Ultrahigh Dose Rate Critical for the Effectiveness of Microbeam Radiation Therapy in a Broad-Beam Combined Treatment?</t>
  </si>
  <si>
    <t>Advances in Radiation Oncology</t>
  </si>
  <si>
    <t>Engels, E.; Forrester, H.B.; Trappetti, V.; Mouchemore, K.; Klein, M.; Sprung, A.H.; Brunt, K.; Barnes, M.J.; Cameron, M.; de Rover, V.; Dietler, B.D.B.; Rosenfeld, A.B.; Lerch, M.L.F.; Anderson, R.L.; Martin, O.A.; Djonov, V.G.</t>
  </si>
  <si>
    <t>UHDR-only/parameter biological study in vivo; mixed study with in-vitro conventional reference</t>
  </si>
  <si>
    <t>Primary Advances in Radiation Oncology full text (PMC)</t>
  </si>
  <si>
    <t>Elette Engels</t>
  </si>
  <si>
    <t>University of Wollongong / Australian Synchrotron / Peter MacCallum Cancer Centre, Australia; University of Bern, Switzerland; collaborating Australian institutions</t>
  </si>
  <si>
    <t>BALB/c mice; 4T1.2 mCherry mammary carcinoma cells</t>
  </si>
  <si>
    <t>Female; 8 weeks for in-vivo experiment</t>
  </si>
  <si>
    <t>4T1.2 mCherry murine triple-negative mammary carcinoma</t>
  </si>
  <si>
    <t>48 mice total, n=12 per cohort; 6/group euthanized around day 14 for immune analysis and 6/group continued for survival follow-up</t>
  </si>
  <si>
    <t>Left inguinal mammary tumor; synchrotron microbeam radiation therapy (MRT) followed by broad-beam irradiation</t>
  </si>
  <si>
    <t>No – mammary tumor was inguinal/non-thoracic; surrounding skin is excluded from thoracic-skin denominator</t>
  </si>
  <si>
    <t>MRT approximately 273–284 Gy peak / ~6.8 Gy valley, followed by ~8 Gy broad beam on each of days 11 and 12</t>
  </si>
  <si>
    <t>MRT peak dose-rate groups ~14.3, 101, and 1082 Gy/s (valley ~0.35, 2.51, 25.9 Gy/s); broad beam ~107–109 Gy/s</t>
  </si>
  <si>
    <t>Not applicable to synchrotron MRT in this form; beam temporal details as reported in full text</t>
  </si>
  <si>
    <t>Not entered – synchrotron scanning/microbeam delivery</t>
  </si>
  <si>
    <t>Dose-rate dependent MRT exposure; broad-beam UHDR delivered on two subsequent days</t>
  </si>
  <si>
    <t>MRT on day 10 plus broad-beam ~8 Gy on days 11 and 12</t>
  </si>
  <si>
    <t>Synchrotron microbeam array to inguinal mammary tumor, then broad-beam treatment; spatially fractionated geometry</t>
  </si>
  <si>
    <t>No conventional comparator in the main in-vivo dose-rate experiment; conventional reference present in in-vitro experiments</t>
  </si>
  <si>
    <t>Three MRT dose-rate groups (~10, 100, 1000 Gy/s nominal) in vivo; conventional irradiation reference in vitro</t>
  </si>
  <si>
    <t>In-vitro conventional doses varied; no in-vivo CONV arm</t>
  </si>
  <si>
    <t>Exact in-vitro conventional rate not established from available sources if needed; no in-vivo CONV comparator</t>
  </si>
  <si>
    <t>Yes across in-vivo MRT dose-rate groups; not applicable to direct CONV comparison</t>
  </si>
  <si>
    <t>Yes across MRT dose-rate groups</t>
  </si>
  <si>
    <t>The key experimental variable was MRT dose rate; all in-vivo groups also received fixed UHDR broad-beam irradiation, creating a combined-treatment design.</t>
  </si>
  <si>
    <t>Tumor growth/volume; survival; in-vitro clonogenic/viability response; tumor immune infiltration</t>
  </si>
  <si>
    <t>No significant tumor-growth difference among the in-vivo MRT dose-rate groups</t>
  </si>
  <si>
    <t>Tumor growth delay did not significantly differ among MRT dose-rate groups. In vitro, lower MRT dose rate produced greater cell killing, whereas the highest dose rate showed relative tumor-cell sparing.</t>
  </si>
  <si>
    <t>Serial tumor growth; immune analysis ~48 h after final irradiation; survival follow-up thereafter</t>
  </si>
  <si>
    <t>Not directly evaluable vs CONV; tumor control was similar across UHDR/near-UHDR MRT dose-rate groups</t>
  </si>
  <si>
    <t>Within the combined MRT+broad-beam regimen, escalating MRT dose rate did not improve tumor growth delay, although immune and survival effects varied with dose rate.</t>
  </si>
  <si>
    <t>Non-thoracic skin around inguinal tumor was monitored but excluded from formal thoracic-skin synthesis</t>
  </si>
  <si>
    <t>Not eligible – inguinal/non-thoracic skin</t>
  </si>
  <si>
    <t>Tumor immune microenvironment only; not a thoracic-field immune endpoint</t>
  </si>
  <si>
    <t>Not directly evaluable for thoracic immune denominator</t>
  </si>
  <si>
    <t>Tumor immune infiltration; PD-1/PD-L1; CD103; dose-rate dependence</t>
  </si>
  <si>
    <t>MRT dose rate altered tumor immune-cell infiltration and checkpoint-marker profiles despite similar tumor-growth delay, indicating dose-rate-dependent biology within the combined SFRT/UHDR regimen.</t>
  </si>
  <si>
    <t>Mixed / not a normal-tissue mechanism</t>
  </si>
  <si>
    <t>PD-1; PD-L1; CD103; leukocyte/immune-cell markers</t>
  </si>
  <si>
    <t>Tumor-volume measurement; survival; flow cytometry/immunophenotyping; in-vitro functional assays</t>
  </si>
  <si>
    <t>Approximately 48 h after final irradiation for immune analysis</t>
  </si>
  <si>
    <t>Yes – related prior program/protocol</t>
  </si>
  <si>
    <t>S56; Engels et al., Adv Radiat Oncol 2024/2025, DOI 10.1016/j.adro.2024.101680</t>
  </si>
  <si>
    <t>Yes – distinct 48-mouse dose-rate cohort from S56</t>
  </si>
  <si>
    <t>Related to S56 conceptually, but the later dose-rate experiment used a new 48-mouse cohort; treat as independent.</t>
  </si>
  <si>
    <t>Mixed / dose-rate dependent; not directly evaluable vs CONV</t>
  </si>
  <si>
    <t>No conventional in-vivo comparator; spatially fractionated MRT plus fixed UHDR broad-beam treatment complicates attribution; non-thoracic skin is ineligible; dose-rate groups include both below- and above-FLASH thresholds by valley rate.</t>
  </si>
  <si>
    <t>Yes – UHDR/parameter breast-tumor stratum</t>
  </si>
  <si>
    <t>Well-described in-vivo breast model with dose-rate manipulation and immune/survival endpoints, but lacks a direct conventional in-vivo control and uses a complex combined SFRT regimen.</t>
  </si>
  <si>
    <t>In a 4T1.2 mammary tumor model treated with synchrotron MRT plus UHDR broad beam, MRT dose rate altered tumor-cell/immune responses but did not significantly change tumor growth delay, and no direct in-vivo CONV comparison was available.</t>
  </si>
  <si>
    <t>MRT peak dose rates of ~14.3, 101 and 1082 Gy/s produced similar tumor growth delay, while immune profiles and survival varied by dose rate.</t>
  </si>
  <si>
    <t>Student t-tests for selected tumor-volume comparisons; one-way ANOVA/Dunnett multiple comparisons and log-rank survival analyses reported across study endpoints.</t>
  </si>
  <si>
    <t>#58</t>
  </si>
  <si>
    <t>Dela 2026</t>
  </si>
  <si>
    <t>Not all tumors are alike: varying efficacy of FLASH across tumor types and oxygenation status in spheroid models</t>
  </si>
  <si>
    <t>British Journal of Radiology</t>
  </si>
  <si>
    <t>Dela, R.; Lemos Da Silva, L.; Beyer, S.; Singers Sørensen, B.; Poulsen, P.; Konradsson, E.; Hörberger, F.; Petersson, K.; Ceberg, C.; Adrian, G.</t>
  </si>
  <si>
    <t>Primary British Journal of Radiology article</t>
  </si>
  <si>
    <t>Rebecka Dela</t>
  </si>
  <si>
    <t>Lund University/Skåne University Hospital, Sweden; Aarhus University Hospital, Denmark; University of Oxford, UK</t>
  </si>
  <si>
    <t>N/A – 3D tumor spheroids</t>
  </si>
  <si>
    <t>T47D hormone-receptor-positive human breast cancer spheroids; additional tumor spheroid models studied</t>
  </si>
  <si>
    <t>3230 spheroids across all tumor models; T47D condition-specific n not established from available sources detailed table/supplement</t>
  </si>
  <si>
    <t>N/A – in vitro spheroid irradiation</t>
  </si>
  <si>
    <t>Multiple dose levels spanning the spheroid-control dose range; exact T47D dose grid not established from available sources supplementary table</t>
  </si>
  <si>
    <t>&gt;200 Gy/s</t>
  </si>
  <si>
    <t>~1.0 Gy/pulse in the reported FLASH electron setup</t>
  </si>
  <si>
    <t>~3.5 µs</t>
  </si>
  <si>
    <t>200 Hz</t>
  </si>
  <si>
    <t>Dose dependent</t>
  </si>
  <si>
    <t>10-MeV electron irradiation of 3D spheroids</t>
  </si>
  <si>
    <t>Conventional-dose-rate electron irradiation</t>
  </si>
  <si>
    <t>Matched dose levels across spheroid-control curves</t>
  </si>
  <si>
    <t>Approximately 0.1–0.13 Gy/s</t>
  </si>
  <si>
    <t>Yes within each dose-level comparison</t>
  </si>
  <si>
    <t>Same electron modality but markedly different dose per pulse/time structure; experiments performed under ambient and reduced-oxygen conditions.</t>
  </si>
  <si>
    <t>Long-term spheroid control/sterilization; SCD50; recurrence/growth over extended follow-up</t>
  </si>
  <si>
    <t>Condition dependent</t>
  </si>
  <si>
    <t>For T47D, FLASH and CONV were comparable under ambient oxygen (DMF at SCD50 1.04, p=0.25), whereas under ~1% oxygen FLASH was less effective (DMF 1.13, p&lt;0.01), indicating tumor sparing under hypoxia.</t>
  </si>
  <si>
    <t>Long-term spheroid follow-up up to approximately 100 days</t>
  </si>
  <si>
    <t>Yes under ambient oxygen; less effective under reduced oxygen</t>
  </si>
  <si>
    <t>FLASH efficacy was tumor-type and oxygenation dependent; T47D showed no significant difference in ambient conditions but measurable FLASH sparing under hypoxia.</t>
  </si>
  <si>
    <t>Not assessed in this tumor-spheroid paper</t>
  </si>
  <si>
    <t>Oxygen tension/hypoxia as an experimental modifier of FLASH response</t>
  </si>
  <si>
    <t>Reduced oxygen tension increased the relative FLASH sparing of T47D spheroids, supporting oxygenation as an important modifier; the study does not directly prove transient radiochemical oxygen depletion.</t>
  </si>
  <si>
    <t>Mixed / condition dependent</t>
  </si>
  <si>
    <t>No single molecular mechanism established; hypoxia condition experimentally manipulated</t>
  </si>
  <si>
    <t>3D spheroid culture; longitudinal imaging/functional spheroid-control assay</t>
  </si>
  <si>
    <t>Long-term follow-up up to ~100 days</t>
  </si>
  <si>
    <t>No specific reused T47D dataset identified.</t>
  </si>
  <si>
    <t>In vitro spheroid system; oxygen-controlled environment may not recapitulate in-vivo tumor heterogeneity; exact dose grid/condition-level sample sizes require supplementary verification.</t>
  </si>
  <si>
    <t>Long-term 3D tumor-control endpoint with direct FLASH-vs-CONV comparisons across oxygen states, but limited to in-vitro spheroids.</t>
  </si>
  <si>
    <t>In T47D breast-cancer spheroids, FLASH and CONV achieved comparable control under ambient oxygen, whereas hypoxia produced a significant FLASH tumor-sparing effect.</t>
  </si>
  <si>
    <t>T47D SCD50 DMF was 1.04 (p=0.25) in ambient conditions but 1.13 (p&lt;0.01) under reduced oxygen.</t>
  </si>
  <si>
    <t>SCD50 dose-response modeling with DMF comparisons; exact model/test details not established from available sources full Methods before manuscript-level test naming.</t>
  </si>
  <si>
    <t>#60</t>
  </si>
  <si>
    <t>Autsavapromporn 2026</t>
  </si>
  <si>
    <t>Bystander effects in both hypoxic cancer and normal cells under FLASH irradiation using proton microbeams</t>
  </si>
  <si>
    <t>International Journal of Radiation Biology</t>
  </si>
  <si>
    <t>Autsavapromporn, N.; Mamiya, T.; Liu, C.; Duangya, A.; Tengku Ahmad, T.A.; Oikawa, M.; Konishi, T.</t>
  </si>
  <si>
    <t>UHDR-only/parameter biological study</t>
  </si>
  <si>
    <t>Primary International Journal of Radiation Biology abstract</t>
  </si>
  <si>
    <t>Narongchai Autsavapromporn</t>
  </si>
  <si>
    <t>Chiang Mai University, Thailand; National Institutes for Quantum Science and Technology, Japan; Malaysian Nuclear Agency, Malaysia</t>
  </si>
  <si>
    <t>A549 lung cancer cells; TIG-1 normal human lung fibroblasts</t>
  </si>
  <si>
    <t>N/A – in vitro proton-microbeam irradiation</t>
  </si>
  <si>
    <t>10 Gy</t>
  </si>
  <si>
    <t>920 Gy/s high-rate arm; 23 Gy/s lower-rate arm</t>
  </si>
  <si>
    <t>Dose-rate dependent – not established from available sources</t>
  </si>
  <si>
    <t>Proton microbeam irradiation under hypoxic conditions; exact energy/beam dimensions not established from available sources</t>
  </si>
  <si>
    <t>23 Gy/s versus 920 Gy/s proton microbeam irradiation; both exceed conventional-dose-rate range</t>
  </si>
  <si>
    <t>Not established from available source material</t>
  </si>
  <si>
    <t>N/A – no conventional comparator</t>
  </si>
  <si>
    <t>Yes across the two UHDR dose-rate conditions</t>
  </si>
  <si>
    <t>Primary variable was dose rate (23 vs 920 Gy/s) under hypoxic microbeam conditions.</t>
  </si>
  <si>
    <t>A549 direct/bystander cellular responses (non-breast; contextual only)</t>
  </si>
  <si>
    <t>Not applicable to direct CONV comparison</t>
  </si>
  <si>
    <t>Higher-rate irradiation produced a bystander-cell sparing phenotype under hypoxia; lung-cancer results are contextual and not part of breast-tumor denominator.</t>
  </si>
  <si>
    <t>Not a tumor-control study; evaluates radiation-induced bystander effects.</t>
  </si>
  <si>
    <t>Normal lung fibroblast bystander response under hypoxia</t>
  </si>
  <si>
    <t>TIG-1 normal lung fibroblast direct/bystander survival/injury responses</t>
  </si>
  <si>
    <t>Not applicable to CONV comparison</t>
  </si>
  <si>
    <t>A sparing effect was observed in hypoxia-treated bystander normal lung cells at the higher 920-Gy/s dose rate compared with the 23-Gy/s condition; both rates are UHDR/nonconventional.</t>
  </si>
  <si>
    <t>Hypoxia; radiation-induced bystander signaling; connexin/gap-junction signaling; Nrf2 antioxidant response; ROS/redox</t>
  </si>
  <si>
    <t>The study links dose-rate-dependent bystander sparing under hypoxia to altered intercellular/gap-junction and antioxidant-response signaling, with a more apparent protective phenotype in normal TIG-1 cells.</t>
  </si>
  <si>
    <t>Yes for higher UHDR vs lower UHDR; not evaluable vs CONV</t>
  </si>
  <si>
    <t>Nrf2; connexin/gap-junction signaling markers – exact panel not established from available sources</t>
  </si>
  <si>
    <t>Cellular bystander-effect assays; molecular signaling assays – exact methods not established from available sources</t>
  </si>
  <si>
    <t>Yes – UHDR-parameter study</t>
  </si>
  <si>
    <t>No conventional-dose-rate arm; in vitro bystander model under hypoxia; detailed beam/assay/timepoint parameters not available in accessible abstract.</t>
  </si>
  <si>
    <t>Yes – UHDR-only lung-cell stratum</t>
  </si>
  <si>
    <t>Peer-reviewed mechanistic dose-rate comparison in normal lung cells, but lacks a conventional comparator and is limited to in-vitro bystander biology.</t>
  </si>
  <si>
    <t>Under hypoxia, 920-Gy/s proton microbeam irradiation produced greater bystander-cell sparing than 23 Gy/s in normal TIG-1 lung fibroblasts, but the study did not include a conventional-dose-rate control.</t>
  </si>
  <si>
    <t>10-Gy proton microbeam irradiation at 920 versus 23 Gy/s produced a dose-rate-dependent bystander sparing phenotype under hypoxia, more evident in normal TIG-1 cells.</t>
  </si>
  <si>
    <t>10 Gy; 23 vs 920 Gy/s. Exact endpoint effect sizes/P values not established from available sources.</t>
  </si>
  <si>
    <t>#62</t>
  </si>
  <si>
    <t>Tao 2026</t>
  </si>
  <si>
    <t>FLASH Radiotherapy Mitigates Radiation-Induced Lymphopenia and Prevents Immunosuppression via Chk1-STAT3 Axis Modulation in a Preclinical Thoracic Irradiation Model</t>
  </si>
  <si>
    <t>Tao, R.-H.; Liu, K.; Aguilar, E.; Wang, M.; Aggarwal, S.; Neill, D.; Velasquez, B.; Beddar, S.; Koong, A.C.; Mohan, R.; Schüler, E.; Lin, S.H.</t>
  </si>
  <si>
    <t>Published primary full text (IJROBP 2026, 126:808–820), E1 beam table, E2–E3 histology/immunofluorescence and E4 supplement; source-checked 2026-10-12.</t>
  </si>
  <si>
    <t>Rong-Hua Tao</t>
  </si>
  <si>
    <t>University of Texas MD Anderson Cancer Center, Houston, USA</t>
  </si>
  <si>
    <t>Female C57BL/6 mice, 8 weeks old at treatment.</t>
  </si>
  <si>
    <t>None – normal thoracic irradiation model</t>
  </si>
  <si>
    <t>17 Gy ×1; separate regimen 2 Gy ×5 (10 Gy total)</t>
  </si>
  <si>
    <t>340 Gy/s (17 Gy ×1, 7 pulses); 1.4×10^6 Gy/s for each 2-Gy single-pulse fraction (Table E1)</t>
  </si>
  <si>
    <t>17 Gy regimen: 2.43 Gy/pulse (7 pulses); fractionated: 2.00 Gy/pulse (1 per fraction)</t>
  </si>
  <si>
    <t>17 Gy FLASH: 1.9 µs; fractionated FLASH: 1.4 µs; CONV: 1.2 µs</t>
  </si>
  <si>
    <t>17 Gy FLASH: 120 Hz; fractionated FLASH: NA (one pulse/fraction); CONV: 30 Hz</t>
  </si>
  <si>
    <t>17 Gy FLASH: 0.05 s, CONV 57 s; 2-Gy FLASH: 1.4 × 10^-6 s/fraction, CONV 7 s/fraction</t>
  </si>
  <si>
    <t>1 × 17 Gy or 5 × 2 Gy on consecutive days</t>
  </si>
  <si>
    <t>IntraOp Mobetron 9-MeV electrons; whole thorax 4 × 2 cm², calibrated at 8-mm depth</t>
  </si>
  <si>
    <t>Conventional-dose-rate thoracic irradiation on same Mobetron; mean dose rate 0.3 Gy/s (Table E1)</t>
  </si>
  <si>
    <t>17 Gy ×1 or 2 Gy ×5</t>
  </si>
  <si>
    <t>0.3 Gy/s</t>
  </si>
  <si>
    <t>17 Gy FLASH: 7 pulses, 2.43 Gy/pulse, 1.9 µs, 120 Hz, 0.05 s; 17 Gy CONV: 1913 pulses, 0.0088 Gy/pulse, 1.2 µs, 30 Hz, 57 s. Fractionated FLASH 1 pulse per 2-Gy fraction.</t>
  </si>
  <si>
    <t>Lung fibrosis; cardiac fibrosis; radiation-induced lymphopenia; lymphocyte apoptosis/recovery; Treg/checkpoint immunosuppression</t>
  </si>
  <si>
    <t>Pulmonary fibrosis/histopathology</t>
  </si>
  <si>
    <t>Late fibrosis at approximately 28 weeks; immune assessments included earlier and 2-/5-month time points</t>
  </si>
  <si>
    <t>FLASH significantly reduced late pulmonary fibrosis relative to CONV after thoracic irradiation.</t>
  </si>
  <si>
    <t>Cardiac fibrosis after thoracic irradiation</t>
  </si>
  <si>
    <t>Not a dedicated endpoint</t>
  </si>
  <si>
    <t>Peripheral lymphopenia; CD3/CD4/CD8/CD19/NK recovery; Annexin-V apoptosis; Tregs; PD-1/PD-L1; splenic Chk1-STAT3 signaling</t>
  </si>
  <si>
    <t>Adaptive/innate immune effects; lymphocyte apoptosis; immune-checkpoint signaling; Chk1-STAT3 axis; fibrosis</t>
  </si>
  <si>
    <t>FLASH reduced lymphocyte apoptosis and accelerated immune-cell recovery while limiting sustained Treg/PD-1/PD-L1 immunosuppression; reduced splenic Chk1-STAT3 activation correlated with checkpoint effects.</t>
  </si>
  <si>
    <t>Chk1; STAT3; PD-1; PD-L1; CD3; CD4; CD8; CD19; NK markers; Annexin V; Treg markers</t>
  </si>
  <si>
    <t>Flow cytometry; Annexin-V apoptosis; immunofluorescence; Western blot; histology/fibrosis assessment</t>
  </si>
  <si>
    <t>Acute lymphocyte recovery plus 2 and 5 months for Treg/checkpoint responses; ~28 weeks for late fibrosis</t>
  </si>
  <si>
    <t>Yes – peer-reviewed article supersedes earlier conference/preprint reporting</t>
  </si>
  <si>
    <t>Earlier SITC conference report DOI 10.1136/jitc-2023-SITC2023.1415; bioRxiv precursor 10.1101/2025.10.21.683770</t>
  </si>
  <si>
    <t>Yes – count peer-reviewed article once; do not double count precursors</t>
  </si>
  <si>
    <t>Peer-reviewed 2026 article is the definitive report; earlier abstract/preprint should not contribute separate denominator entries.</t>
  </si>
  <si>
    <t>Preclinical thoracic model at high single-fraction dose; comparator 0.3 Gy/s lies above review strict ≤0.2 Gy/s conventional stratum; long-term immunological/mechanistic associations do not establish Chk1–STAT3 causality.</t>
  </si>
  <si>
    <t>Direct in vivo whole-thorax FLASH–CONV comparisons with dosimetrically specified single and fractionated regimens; late lung/heart pathology and longitudinal lymphocyte profiling. Conventional 0.3 Gy/s (&gt;0.2 Gy/s) requires comparator-stratified interpretation.</t>
  </si>
  <si>
    <t>Thoracic FLASH reduced late lung and cardiac fibrosis and mitigated radiation-induced lymphopenia/immunosuppression relative to CONV, with altered Chk1-STAT3/checkpoint signaling.</t>
  </si>
  <si>
    <t>17 Gy ×1 FLASH produced reduced 28-week lung and heart collagen versus CONV (P&lt;0.0001), lower lymphocyte apoptosis, and faster lymphocyte recovery in both 17 Gy ×1 and 2 Gy ×5 regimens.</t>
  </si>
  <si>
    <t>17 Gy ×1: FLASH 340 Gy/s, 2.43 Gy/pulse ×7, 0.05 s; CONV 0.3 Gy/s, 0.0088 Gy/pulse ×1913, 57 s. 2 Gy ×5: FLASH one pulse/fraction (2 Gy), 1.4 µs; CONV 0.3 Gy/s. Lung/heart collagen CONV 4–5× FLASH, P&lt;0.0001.</t>
  </si>
  <si>
    <t>Statistical analyses reported in primary article; verify endpoint-specific test in corresponding figure legend; beam parameters independently verified from Supplementary Table E1.</t>
  </si>
  <si>
    <t>#64</t>
  </si>
  <si>
    <t>Paillas 2026</t>
  </si>
  <si>
    <t>Radiation Dose-Dependent Skin Toxicity and Therapeutic Advantage of FLASH Radiation Therapy Via Immune Modulation</t>
  </si>
  <si>
    <t>Paillas, S.; Then, C.K.; Suárez-Bonnet, A.; Priestnall, S.L.; Kumaran, G.; Ruan, J.-L.; Tullis, I.D.C.; Olcina, M.M.; Bottomley, M.J.; Petersson, K.</t>
  </si>
  <si>
    <t>Primary Red Journal article/PubMed; overlap note derived from authors’ reference to prior same-model dose-rate work</t>
  </si>
  <si>
    <t>Salomé Paillas</t>
  </si>
  <si>
    <t>University of Oxford, UK; Francis Crick Institute/Royal Veterinary College, UK; Taipei Medical University, Taiwan</t>
  </si>
  <si>
    <t>Female; purchased at approximately 8 weeks</t>
  </si>
  <si>
    <t>None – normal thoracic skin/immune model</t>
  </si>
  <si>
    <t>355 mice total; group-specific n varied by dose/regimen/time point – not established from available sources detailed tables</t>
  </si>
  <si>
    <t>Right hemithorax</t>
  </si>
  <si>
    <t>Single 20, 25, or 30 Gy; fractionated 3×10 Gy or 3×15 Gy over 3 consecutive days</t>
  </si>
  <si>
    <t>Approximately 1800–3000 Gy/s for FLASH conditions used</t>
  </si>
  <si>
    <t>Approximately 5 Gy per macro-pulse in the reported setup – not established from available sources beam table</t>
  </si>
  <si>
    <t>Approximately 3.4 µs macro-pulse – not established from available sources beam table</t>
  </si>
  <si>
    <t>Approximately 300 Hz – not established from available sources beam table</t>
  </si>
  <si>
    <t>Dose/regimen dependent</t>
  </si>
  <si>
    <t>1 or 3 consecutive daily fractions</t>
  </si>
  <si>
    <t>Right-thorax electron field approximately 20×20 mm²; exact setup not established from available sources figure/Methods</t>
  </si>
  <si>
    <t>Matched single and fractionated doses</t>
  </si>
  <si>
    <t>Approximately 0.1 Gy/s</t>
  </si>
  <si>
    <t>Same electron modality with major dose-rate/dose-per-pulse/time-structure difference.</t>
  </si>
  <si>
    <t>Thoracic skin toxicity; histopathology; immune-cell populations; inflammatory gene expression; CD8-depletion perturbation</t>
  </si>
  <si>
    <t>Not a primary endpoint</t>
  </si>
  <si>
    <t>Serial skin-toxicity onset/severity after single and fractionated right-thorax irradiation; histologic inflammatory/tissue injury changes</t>
  </si>
  <si>
    <t>Local/systemic immune-cell populations; multiplex inflammatory gene-expression profiles; CD8 T-cell depletion</t>
  </si>
  <si>
    <t>Favorable FLASH-associated immune/inflammatory profile</t>
  </si>
  <si>
    <t>Adaptive immunity; innate inflammation; cytokines/inflammation; immune-cell preservation</t>
  </si>
  <si>
    <t>FLASH dampened radiation-induced immune/inflammatory activation and preserved immune-cell populations. CD8 T-cell depletion worsened CONV skin toxicity/inflammation but did not produce a comparable worsening after FLASH, supporting an immune contribution to differential toxicity.</t>
  </si>
  <si>
    <t>CD8 T-cell markers; multiplex inflammatory/immune gene panel – exact genes not established from available sources article supplement</t>
  </si>
  <si>
    <t>Serial skin-toxicity scoring; histology; flow cytometry; multiplex gene-expression analysis; CD8-depletion functional perturbation</t>
  </si>
  <si>
    <t>Acute/serial skin follow-up through approximately 8 weeks plus immune profiling at study-defined early/late time points – Exact schedule</t>
  </si>
  <si>
    <t>Uncertain – probable partial overlap with prior Paillas same-model dose-rate study</t>
  </si>
  <si>
    <t>Paillas et al., Clin Transl Radiat Oncol 2026;56:101052; DOI 10.1016/j.ctro.2025.101052</t>
  </si>
  <si>
    <t>Partial – fractionated/immune analyses are distinct; single-fraction skin dose-response overlaps conceptually with Paillas CTRO DOI 10.1016/j.ctro.2025.101052 and should not be double-counted if the same animals/data are reused</t>
  </si>
  <si>
    <t>Authors explicitly reference prior same-model single-fraction skin dose-rate work. Do not double-count the single-fraction skin DMF until animal/data reuse is checked; fractionated and immune analyses appear distinct.</t>
  </si>
  <si>
    <t>Potential partial reuse of prior single-fraction skin dataset; exact group-specific n and some beam/immune timing details require verification; mouse skin toxicity may not directly translate clinically.</t>
  </si>
  <si>
    <t>Large in-vivo dataset with direct matched electron comparisons, dose-response/fractionation and immune perturbation, but overlap with earlier same-model skin data unclear.</t>
  </si>
  <si>
    <t>Electron FLASH reduced dose-dependent thoracic skin toxicity after single and fractionated irradiation and was associated with a less injurious immune/inflammatory response, including differential effects of CD8 depletion.</t>
  </si>
  <si>
    <t>FLASH delayed onset and reduced severity of thoracic skin toxicity relative to CONV across single and fractionated regimens, with an approximately 1.5 dose-modifying factor at the high FLASH dose rates used.</t>
  </si>
  <si>
    <t>FLASH skin sparing reported p&lt;0.001; dose-modifying factor approximately 1.5 for the 1800–3000 Gy/s range. Exact regimen-specific effect sizes not established from available sources full tables.</t>
  </si>
  <si>
    <t>Dose-response/time-to-toxicity and group comparisons reported; endpoint-specific tests not established from available sources primary/supplementary Methods before final table.</t>
  </si>
  <si>
    <t>#65</t>
  </si>
  <si>
    <t>Zafar 2026</t>
  </si>
  <si>
    <t>Optimizing Transmission FLASH Radiation Therapy for Large-Field Postmastectomy Breast Treatment</t>
  </si>
  <si>
    <t>Zafar, A.J.; Dutta, S.W.; Case, M.J.; Diamond, Z.; Bohannon, D.; Jagsi, R.; Yang, X.; Zhou, J.</t>
  </si>
  <si>
    <t>Planning/dosimetry study</t>
  </si>
  <si>
    <t>Primary Red Journal/ScienceDirect full text and PubMed</t>
  </si>
  <si>
    <t>Ahmal Jawad Zafar</t>
  </si>
  <si>
    <t>Emory University / Winship Cancer Institute, Atlanta, USA</t>
  </si>
  <si>
    <t>Retrospective treatment-planning study</t>
  </si>
  <si>
    <t>Human treatment plans</t>
  </si>
  <si>
    <t>Five left-sided postmastectomy breast cancer patients; individual demographics not established from available sources</t>
  </si>
  <si>
    <t>Postmastectomy breast/chest-wall clinical planning cases</t>
  </si>
  <si>
    <t>5 patient plans</t>
  </si>
  <si>
    <t>Large-field postmastectomy chest wall/breast-region planning</t>
  </si>
  <si>
    <t>Yes – dosimetric/planning endpoint only</t>
  </si>
  <si>
    <t>32 Gy in 5 fractions (planning prescription)</t>
  </si>
  <si>
    <t>Model-defined FLASH criterion ≥40 Gy/s; no single biological delivered rate</t>
  </si>
  <si>
    <t>Not applicable / PBS planning</t>
  </si>
  <si>
    <t>Not applicable / planning</t>
  </si>
  <si>
    <t>Trajectory/scan-speed dependent; 10–20 mm/ms scan speeds modeled</t>
  </si>
  <si>
    <t>5</t>
  </si>
  <si>
    <t>249-MeV tangential transmission proton beams plus supplemental en-face clinical-dose-rate proton field</t>
  </si>
  <si>
    <t>No biological CONV comparator</t>
  </si>
  <si>
    <t>Compared scan speeds, beam configurations, spot-ordering strategies and FLASH dose-rate models</t>
  </si>
  <si>
    <t>Not applicable as biological comparator</t>
  </si>
  <si>
    <t>FLASH effectiveness depended on scan speed, split-field/spot sequencing and dose-rate model (ADR versus FEM).</t>
  </si>
  <si>
    <t>CTV dosimetry only; no tumor-control biology</t>
  </si>
  <si>
    <t>Physical target coverage/planning maintained while model-corrected effective dose changed with optimization.</t>
  </si>
  <si>
    <t>Planning only</t>
  </si>
  <si>
    <t>Not biologically tested</t>
  </si>
  <si>
    <t>Planning study only; no biological tumor-efficacy conclusion.</t>
  </si>
  <si>
    <t>Skin and thoracic OAR dosimetry / modeled FLASH coverage</t>
  </si>
  <si>
    <t>Lung dosimetry / modeled FLASH coverage</t>
  </si>
  <si>
    <t>Not directly evaluable biologically</t>
  </si>
  <si>
    <t>OAR FLASH coverage and corrected dose were sensitive to scanning path and model.</t>
  </si>
  <si>
    <t>Planning dosimetry only where applicable</t>
  </si>
  <si>
    <t>Skin voxels meeting FLASH criteria; modeled corrected skin dose</t>
  </si>
  <si>
    <t>Not directly evaluable biologically; positive planning feasibility</t>
  </si>
  <si>
    <t>None – physics/planning study</t>
  </si>
  <si>
    <t>None</t>
  </si>
  <si>
    <t>Treatment planning; FLASH effectiveness model (FEM); average dose-rate (ADR) model; spot-sequence optimization</t>
  </si>
  <si>
    <t>No known biological cohort overlap</t>
  </si>
  <si>
    <t>Yes – independent planning study</t>
  </si>
  <si>
    <t>Peer-reviewed article supersedes/updates prepublication planning report; count once.</t>
  </si>
  <si>
    <t>Positive planning feasibility / model-dependent</t>
  </si>
  <si>
    <t>Five retrospective plans; no biological validation; modeled FLASH benefit highly dependent on dose-rate definition, scan speed and trajectory.</t>
  </si>
  <si>
    <t>Peer-reviewed clinically relevant planning study with explicit model comparisons, but no biological validation and strong model dependence.</t>
  </si>
  <si>
    <t>Transmission-proton postmastectomy FLASH planning was feasible, but predicted benefit depended strongly on scan speed, beam configuration and the FLASH dose-rate model.</t>
  </si>
  <si>
    <t>Increasing scan speed increased the proportion of skin voxels meeting FLASH criteria, while spot-sequence optimization reduced modeled effective target/skin dose without changing the physical prescription.</t>
  </si>
  <si>
    <t>Treatment-planning/model comparisons; no biological statistical test</t>
  </si>
  <si>
    <t>#66</t>
  </si>
  <si>
    <t>Luo 2026</t>
  </si>
  <si>
    <t>Evaluation of inflammation-mediated cancer progression during FLASH and conventional irradiation-induced lung injury</t>
  </si>
  <si>
    <t>Clinical Science</t>
  </si>
  <si>
    <t>Luo, H.; Yang, C.; Hu, D.; Laster, K.V.; Mao, R.; Ma, L.; Lei, H.; Ge, H.</t>
  </si>
  <si>
    <t>Full Clinical Science 2026 article, 140:201–219, and supplementary Figures S1–S5/Table S1; directly source-checked 2026-10-12.</t>
  </si>
  <si>
    <t>Hui Luo</t>
  </si>
  <si>
    <t>Affiliated Cancer Hospital of Zhengzhou University, China; Jeonbuk National University, Republic of Korea; collaborators</t>
  </si>
  <si>
    <t>C57BL/6J mice (8–10 weeks); healthy whole-thorax and LLC tumor-colonization experiments.</t>
  </si>
  <si>
    <t>8–10-week-old C57BL/6J mice; supplementary Figure S3 specifies male mice (other cohorts: sex not consistently specified).</t>
  </si>
  <si>
    <t>Healthy-lung irradiation followed by metastatic-seeding/cancer-progression assays; non-breast tumor context</t>
  </si>
  <si>
    <t>n=6 for supplementary mechanistic/immune experiments (figure captions); do not generalize this n to every cohort or timepoint.</t>
  </si>
  <si>
    <t>Whole thorax using circular collimator; modified Varian Clinac 23CX electron LINAC, SSD 100 cm.</t>
  </si>
  <si>
    <t>9 MeV electrons, Varian Clinac 23CX modified for FLASH.</t>
  </si>
  <si>
    <t>10 Gy ×1 whole-thorax; separate orthotopic LLC experiment 10 Gy ×1.</t>
  </si>
  <si>
    <t>120 Gy/s (Supplementary Table S1).</t>
  </si>
  <si>
    <t>FLASH 0.33 Gy/pulse; CONV 5.6×10^-5 Gy/pulse (Supplementary Table S1).</t>
  </si>
  <si>
    <t>4.0 µs (FLASH and CONV; Supplementary Table S1).</t>
  </si>
  <si>
    <t>FLASH 360 Hz; CONV 180 Hz (Supplementary Table S1).</t>
  </si>
  <si>
    <t>Not directly specified. Supplement Table S1 states 360 pulses at 0.33 Gy/pulse for a 10-Gy irradiation, which is arithmetically inconsistent; do not infer exposure duration from this row.</t>
  </si>
  <si>
    <t>Whole-thorax irradiation; circular collimator; SSD 100 cm. Numerical collimator diameter not specified in verified Methods excerpt.</t>
  </si>
  <si>
    <t>Conventional (CONV) electron irradiation</t>
  </si>
  <si>
    <t>10 Gy ×1</t>
  </si>
  <si>
    <t>0.01 Gy/s (Supplementary Table S1).</t>
  </si>
  <si>
    <t>Yes (10 Gy ×1 each).</t>
  </si>
  <si>
    <t>Yes (9 MeV electrons).</t>
  </si>
  <si>
    <t>Main article: FLASH 9 MeV, 120 Gy/s average, ~82,500 Gy/s instantaneous, 4 µs, 360 Hz; supplement: 0.33 Gy/pulse and 83,333 Gy/s instantaneous. Table S1 lists 360 pulses, which at 0.33 Gy/pulse would imply 118.8 Gy, inconsistent with the stated 10-Gy delivered regimen; source clarification warranted.</t>
  </si>
  <si>
    <t>Metastatic colonization/cancer progression after irradiated-lung conditioning; non-breast contextual endpoint</t>
  </si>
  <si>
    <t>Chronic phase favored FLASH for fewer metastatic colonies; exact statistics not established from available sources</t>
  </si>
  <si>
    <t>Acute radiation-induced inflammation promoted metastasis in both groups; chronic FLASH-conditioned lungs developed fewer metastatic colonies than CONV.</t>
  </si>
  <si>
    <t>Acute and chronic; chronic lung endpoint 12 weeks</t>
  </si>
  <si>
    <t>Not a breast primary-tumor control study</t>
  </si>
  <si>
    <t>FLASH maintained comparable irradiation efficacy while modifying the normal-lung inflammatory/fibrotic environment.</t>
  </si>
  <si>
    <t>Acute lung inflammation; pulmonary fibrosis; immune-cell recruitment/polarization</t>
  </si>
  <si>
    <t>Acute inflammatory injury; pulmonary fibrosis; metastatic niche</t>
  </si>
  <si>
    <t>Acute inflammation; 3 weeks immune profiling; late pulmonary fibrosis at 12 weeks; micro-CT repeated twice weekly in monitored cohorts.</t>
  </si>
  <si>
    <t>Mixed / time-dependent; late favorable FLASH sparing</t>
  </si>
  <si>
    <t>Yes for less pulmonary fibrosis at 12 weeks</t>
  </si>
  <si>
    <t>Acute inflammatory responses were similar, but FLASH caused significantly less pulmonary fibrosis at 12 weeks.</t>
  </si>
  <si>
    <t>Neutrophil recruitment; macrophage polarization; inflammatory microenvironment</t>
  </si>
  <si>
    <t>Mixed / phase-dependent</t>
  </si>
  <si>
    <t>Neutrophil-mediated inflammation; macrophage polarization; fibrosis; metastatic niche</t>
  </si>
  <si>
    <t>Both modalities produced similar acute neutrophilic inflammation, whereas chronic FLASH exposure was associated with faster M2 macrophage polarization, less fibrosis and fewer metastatic colonies.</t>
  </si>
  <si>
    <t>Yes at chronic phase; not at acute phase</t>
  </si>
  <si>
    <t>Supported but partly associative</t>
  </si>
  <si>
    <t>CXCL1, CXCR2, ICAM1, Ly6G, F4/80, CD206, TNF-α, IL-10, p-STAT6, p-NF-κB, α-SMA, collagens (supplementary panels).</t>
  </si>
  <si>
    <t>Micro-CT, H&amp;E/Ashcroft scoring, hydroxyproline, flow cytometry, qPCR, Western blot, ELISA, immunohistochemistry, metastatic-colonization assays.</t>
  </si>
  <si>
    <t>Acute and chronic; 12-week fibrosis endpoint</t>
  </si>
  <si>
    <t>Related research program to S29; no exact duplicate cohort documented</t>
  </si>
  <si>
    <t>S29; #83</t>
  </si>
  <si>
    <t>Yes for the distinct chronic/12-week outcomes; avoid duplicate counting of any identical acute endpoints shared with S29</t>
  </si>
  <si>
    <t>S24 and S29 are related Zhengzhou whole-thorax reports. S29 focuses on acute NETs/metastatic colonization; S24 adds chronic 12-week fibrosis and macrophage-polarization outcomes. No evidence supports excluding either report as a duplicate.</t>
  </si>
  <si>
    <t>Positive / favors FLASH for late lung injury; acute response comparable</t>
  </si>
  <si>
    <t>Exact beam parameters and group sizes require Methods verification; metastatic model is non-breast; potential cohort/data overlap with related reports.</t>
  </si>
  <si>
    <t>Yes – lung; use distinct chronic outcomes independently and deduplicate any identical acute endpoints if necessary</t>
  </si>
  <si>
    <t>Peer-reviewed in-vivo direct comparison with acute and 12-week endpoints, but current extraction lacks full beam/cohort detail and overlap remains unresolved.</t>
  </si>
  <si>
    <t>FLASH and CONV caused similar acute lung inflammation, but FLASH reduced 12-week pulmonary fibrosis and was associated with a less pro-metastatic chronic lung environment.</t>
  </si>
  <si>
    <t>Both modalities triggered similar acute inflammatory responses, whereas FLASH produced significantly less pulmonary fibrosis at 12 weeks and fewer chronic metastatic colonies.</t>
  </si>
  <si>
    <t>10 Gy ×1, FLASH 120 Gy/s vs CONV 0.01 Gy/s; late lung fibrosis lower under FLASH at 12 weeks; early inflammatory outcomes similar. Supplementary figure outcomes typically n=6; exact endpoint P values vary by panel.</t>
  </si>
  <si>
    <t>#67</t>
  </si>
  <si>
    <t>Minafra 2026</t>
  </si>
  <si>
    <t>Early molecular changes induced by FLASH irradiation in MCF10A and MDA-MB-231 breast cell lines</t>
  </si>
  <si>
    <t>Frontiers in Oncology</t>
  </si>
  <si>
    <t>Minafra, L.; Calvaruso, M.; Pucci, G.; Sarnari, F.; Russo, G.; Bravatà, V.; Cammarata, F.P.; Di Martino, F.; Cavalieri, A.; Bartolomei, L.; Grassi, A.; Dalfovo, D.; Romanel, A.; Bonanomi, M.; Croci, S.; Scifoni, E.; Bisio, A.; Forte, G.I.</t>
  </si>
  <si>
    <t>Primary Frontiers full text and PubMed</t>
  </si>
  <si>
    <t>Luigi Minafra</t>
  </si>
  <si>
    <t>CNR/INFN and collaborating Italian institutions, Italy</t>
  </si>
  <si>
    <t>MDA-MB-231 TNBC; MCF10A non-tumorigenic mammary epithelial cells</t>
  </si>
  <si>
    <t>Clonogenic: 4 replicates/dose, 3 independent irradiation experiments; assay-specific replicates varied</t>
  </si>
  <si>
    <t>N/A – in vitro breast-cell irradiation</t>
  </si>
  <si>
    <t>2, 4, 6, 9, 11, 15 Gy for clonogenic assays; 2/5 Gy DNA-damage; 9/15 Gy transcriptomics</t>
  </si>
  <si>
    <t>230 Gy/s</t>
  </si>
  <si>
    <t>ElectronFlash in-vitro plate irradiation; detailed geometry in primary Methods</t>
  </si>
  <si>
    <t>CONV electron irradiation</t>
  </si>
  <si>
    <t>Matched doses</t>
  </si>
  <si>
    <t>6 Gy/min = 0.1 Gy/s</t>
  </si>
  <si>
    <t>Dose rate/time structure</t>
  </si>
  <si>
    <t>Clonogenic survival; DNA damage kinetics; transcriptomics; cytokine/immunologic profiling</t>
  </si>
  <si>
    <t>Comparable / neutral for clonogenic survival; molecular responses differed</t>
  </si>
  <si>
    <t>No for survival; yes for selected early molecular endpoints</t>
  </si>
  <si>
    <t>MDA-MB-231 survival did not differ between dose rates, despite greater early γH2AX and persistent 53BP1 changes plus broader transcriptomic/cytokine modulation after FLASH.</t>
  </si>
  <si>
    <t>Clonogenic ~10 days; DNA damage 0.5/1/24 h; RNA-seq 24 h; cytokines 24/48/72 h</t>
  </si>
  <si>
    <t>Yes at cellular clonogenic-survival level</t>
  </si>
  <si>
    <t>Dose rate modulated early biology without changing long-term clonogenic survival.</t>
  </si>
  <si>
    <t>MCF10A survival and molecular stress-response endpoints</t>
  </si>
  <si>
    <t>Not a thoracic-field immune endpoint</t>
  </si>
  <si>
    <t>DNA damage/repair; transcriptomics; mitochondrial/oxidative stress; cytokine signaling; microtubule injury</t>
  </si>
  <si>
    <t>FLASH altered early DNA-damage kinetics and induced broader transcriptomic responses, including mitochondrial-gene upregulation in MCF10A, without changing clonogenic survival or GSH/GSSG balance.</t>
  </si>
  <si>
    <t>No consistent normal-cell sparing demonstrated</t>
  </si>
  <si>
    <t>Direct molecular observations; mechanistic causality not established</t>
  </si>
  <si>
    <t>γH2AX; 53BP1; mitochondrial gene sets; cytokine panel; GSH/GSSG</t>
  </si>
  <si>
    <t>Clonogenic assay; IF/confocal microscopy; RNA-seq; qRT-PCR; Luminex; UHPLC-TQ-MS/MS</t>
  </si>
  <si>
    <t>0.5–72 h; clonogenic endpoint ~10 days</t>
  </si>
  <si>
    <t>Independent in-vitro breast-cell study.</t>
  </si>
  <si>
    <t>Comparable / neutral survival with distinct early biology</t>
  </si>
  <si>
    <t>In vitro normoxic model; no in-vivo tumor control or organ-level normal-tissue endpoint; early molecular differences did not translate into survival differences.</t>
  </si>
  <si>
    <t>Yes – breast cellular evidence</t>
  </si>
  <si>
    <t>Direct dose-matched comparison with multiple orthogonal assays and replicated clonogenic experiments, limited by in-vitro design.</t>
  </si>
  <si>
    <t>Electron FLASH and CONV produced comparable survival in MDA-MB-231 and MCF10A cells while eliciting distinct early DNA-damage, transcriptomic and cytokine responses.</t>
  </si>
  <si>
    <t>Across 2–15 Gy, clonogenic survival was comparable at 230 Gy/s versus 0.1 Gy/s, despite dose-rate-dependent early molecular changes.</t>
  </si>
  <si>
    <t>Study-specific group comparisons and differential-expression analyses; exact test names available in primary Methods</t>
  </si>
  <si>
    <t>ROS/redox/oxygen; Immune/inflammatory; DNA damage/sensing; Mitochondrial/metabolism</t>
  </si>
  <si>
    <t>#71</t>
  </si>
  <si>
    <t>Velalopoulou 2025</t>
  </si>
  <si>
    <t>Comparative metabolomic analysis of human lung slices (hu-PCLS) exposed to either standard or FLASH protons: a pilot study</t>
  </si>
  <si>
    <t>Velalopoulou, A.; Mak, T.D.; Deziel, A.; Kim, M.M.; Koumenis, C.; Christofidou-Solomidou, M.; Laiakis, E.C.</t>
  </si>
  <si>
    <t>Direct FLASH-vs-standard biological mechanistic study</t>
  </si>
  <si>
    <t>Primary Radiation Oncology full text</t>
  </si>
  <si>
    <t>Anastasia Velalopoulou</t>
  </si>
  <si>
    <t>University of Pennsylvania and collaborating US institutions, USA</t>
  </si>
  <si>
    <t>Ex vivo human</t>
  </si>
  <si>
    <t>Human precision-cut lung slices (hu-PCLS)</t>
  </si>
  <si>
    <t>3 healthy nonsmoker donors: male 70 y, male 42 y, female 74 y</t>
  </si>
  <si>
    <t>None – healthy human lung tissue</t>
  </si>
  <si>
    <t>3 donors; n=5 samples/group for metabolomics; each donor analyzed separately</t>
  </si>
  <si>
    <t>Ex vivo lung slices</t>
  </si>
  <si>
    <t>12 Gy ×1</t>
  </si>
  <si>
    <t>95.1 ± 23 Gy/s</t>
  </si>
  <si>
    <t>PBS proton delivery; not entered as electron-style pulse metric</t>
  </si>
  <si>
    <t>Not applicable / PBS</t>
  </si>
  <si>
    <t>230-MeV proton beam; ~26-mm circular field</t>
  </si>
  <si>
    <t>Standard-dose-rate proton irradiation</t>
  </si>
  <si>
    <t>0.58 ± 0.16 Gy/s</t>
  </si>
  <si>
    <t>Dose rate/temporal delivery</t>
  </si>
  <si>
    <t>Not a tumor study</t>
  </si>
  <si>
    <t>Untargeted metabolomic response in human lung tissue</t>
  </si>
  <si>
    <t>Metabolomic profiles/pathway changes after irradiation</t>
  </si>
  <si>
    <t>24 h</t>
  </si>
  <si>
    <t>Not directly evaluable for tissue sparing; distinct metabolomic response</t>
  </si>
  <si>
    <t>Metabolomic differences detected; no validated sparing endpoint</t>
  </si>
  <si>
    <t>Dose-rate-dependent differences involved β-alanine, sphingolipid, bile-acid and one-carbon/folate pathways, with strong donor variability.</t>
  </si>
  <si>
    <t>Not directly assessed</t>
  </si>
  <si>
    <t>Metabolism; sphingolipid/eicosanoid signaling; one-carbon metabolism; β-alanine metabolism</t>
  </si>
  <si>
    <t>FLASH and standard protons produced distinct 24-h metabolomic signatures, but the small pilot did not establish a validated normal-tissue sparing phenotype.</t>
  </si>
  <si>
    <t>Unclear</t>
  </si>
  <si>
    <t>Metabolites including sphingoid bases/eicosanoids; 22 metabolites of interest reported</t>
  </si>
  <si>
    <t>Untargeted metabolomics / mass spectrometry; pathway enrichment</t>
  </si>
  <si>
    <t>Independent human-lung pilot.</t>
  </si>
  <si>
    <t>Mechanistic difference; sparing not directly evaluable</t>
  </si>
  <si>
    <t>Only 3 donors; high inter-individual variability; single 24-h time point; metabolomic changes are not equivalent to tissue sparing; comparator &gt;0.2 Gy/s.</t>
  </si>
  <si>
    <t>Yes – mechanistic lung evidence, not direction-of-sparing denominator</t>
  </si>
  <si>
    <t>Low–Moderate</t>
  </si>
  <si>
    <t>Human tissue and matched proton exposure are strengths, but donor number is very small and endpoint is exploratory metabolomics.</t>
  </si>
  <si>
    <t>Human precision-cut lung slices showed dose-rate-dependent metabolomic differences after 12-Gy proton irradiation, without a direct demonstration of FLASH tissue sparing.</t>
  </si>
  <si>
    <t>FLASH 95.1±23 Gy/s and standard 0.58±0.16 Gy/s produced distinct 24-h metabolomic pathway signatures in hu-PCLS.</t>
  </si>
  <si>
    <t>Metabolomic multivariate/pathway analyses; exact statistical workflow in primary Methods</t>
  </si>
  <si>
    <t>#80</t>
  </si>
  <si>
    <t>Dubail 2025</t>
  </si>
  <si>
    <t>Sparing effects of FLASH irradiation in patient-derived lung tissue</t>
  </si>
  <si>
    <t>Dubail, M.; Lafouasse, C.; Heinrich, S.; Favaudon, V.; Londoño-Vallejo, A.; Dutreix, M.; Colin, D.; Côté, J.-F.; Didier, J.; Pouliquen, C.; Benali, A.; Verrelle, P.; Lefèvre, M.; Girard, N.; Seguin-Givelet, A.; Créhange, G.; Fouillade, C.</t>
  </si>
  <si>
    <t>Primary Radiotherapy &amp; Oncology full text/PubMed</t>
  </si>
  <si>
    <t>Maxime Dubail</t>
  </si>
  <si>
    <t>Institut Curie / Institut Mutualiste Montsouris and collaborators, France</t>
  </si>
  <si>
    <t>Human precision-cut lung slices (Hu-PCLS)</t>
  </si>
  <si>
    <t>19 patients: 10 men, 9 women; age 48–86 years</t>
  </si>
  <si>
    <t>Tumor-free/healthy lung samples from surgical specimens</t>
  </si>
  <si>
    <t>19 patient-derived Hu-PCLS samples; RNA-seq performed on 3 selected patients with 3 replicates/condition</t>
  </si>
  <si>
    <t>Ex vivo human lung tissue</t>
  </si>
  <si>
    <t>9 ± 0.2 Gy ×1</t>
  </si>
  <si>
    <t>~450 Gy/s</t>
  </si>
  <si>
    <t>3 Gy/pulse</t>
  </si>
  <si>
    <t>3.5–3.9 μs</t>
  </si>
  <si>
    <t>100 Hz</t>
  </si>
  <si>
    <t>0.02 s (~20 ms)</t>
  </si>
  <si>
    <t>Vertical 7-MeV electron beam; Ø120-mm field; SSD 110 cm; Hu-PCLS irradiated in 24-well plates</t>
  </si>
  <si>
    <t>Conventional mode on ElectronFLASH device</t>
  </si>
  <si>
    <t>~0.5 Gy/s</t>
  </si>
  <si>
    <t>FLASH: 450 Gy/s, 3 Gy/pulse, 3 pulses, 100 Hz, 3.5–3.9 μs pulse width, in-pulse dose rate 8×10⁵ Gy/s, ~0.02-s treatment. CONV: 0.5 Gy/s, ~0.05 Gy/pulse, ~200 pulses, 10 Hz, 4 μs pulse width, in-pulse dose rate ~1×10⁴ Gy/s, ~20-s treatment.</t>
  </si>
  <si>
    <t>Not a tumor-control study</t>
  </si>
  <si>
    <t>Cell proliferation; transcriptomic DNA-damage/cell-cycle/apoptosis/oxidative-stress response</t>
  </si>
  <si>
    <t>Cycling-cell preservation; RNA-seq injury-response signatures</t>
  </si>
  <si>
    <t>Yes; FLASH preserved a higher proportion of cycling cells in 18/19 patients (~95%); one patient showed no significant FLASH-vs-CONV difference.</t>
  </si>
  <si>
    <t>At 24 h, CONV reduced EdU+ cycling cells to approximately 9–33% of untreated levels in women and 18–42% in men, whereas FLASH preserved approximately 17–56% and 28–57%, respectively. FLASH showed greater preservation in 18/19 patients.</t>
  </si>
  <si>
    <t>Cell cycle/checkpoints; p53/apoptosis; DNA damage/repair; oxidative stress/antioxidant response; transcriptomics</t>
  </si>
  <si>
    <t>FLASH attenuated early transcriptional programs associated with cell-cycle arrest, p53-mediated apoptosis, DNA damage and oxidative stress in patient-derived lung tissue.</t>
  </si>
  <si>
    <t>Supported but early/associative</t>
  </si>
  <si>
    <t>MKI67, TOP2A, CDK1; BAX, GADD45A; ATR, PARP1, CHEK2; NRF2 pathway genes including KEAP1; ROS-detoxification genes PRDX1, SOD1, TXNRD2, TXNRD3</t>
  </si>
  <si>
    <t>Hu-PCLS; EdU incorporation with 3D nuclear segmentation/IMARIS; spinning-disk microscopy; bulk RNA-seq (Illumina NovaSeq 6000); DESeq2; GSEA</t>
  </si>
  <si>
    <t>Independent patient-derived lung study.</t>
  </si>
  <si>
    <t>Ex vivo acute endpoint only; no late pneumonitis/fibrosis or whole-organ physiology; comparator rate &gt;0.2 Gy/s; exact beam microparameters not fully extracted.</t>
  </si>
  <si>
    <t>Moderate–High</t>
  </si>
  <si>
    <t>Direct paired human-tissue comparison across 19 donors with transcriptomic corroboration; limited to an acute ex-vivo endpoint.</t>
  </si>
  <si>
    <t>Electron FLASH produced an early sparing phenotype in patient-derived human lung tissue, preserving proliferating cells and attenuating injury-associated transcriptional programs.</t>
  </si>
  <si>
    <t>FLASH spared cycling cells in 18 of 19 patient-derived lung samples and attenuated cell-cycle arrest, DNA-damage, p53/apoptotic and oxidative-stress pathways.</t>
  </si>
  <si>
    <t>Wilcoxon Mann–Whitney test for EdU+ nuclei comparisons. RNA-seq/GSEA significance: p&lt;0.05 and FDR q&lt;0.1; 1000 permutations.</t>
  </si>
  <si>
    <t>ROS/redox/oxygen; DNA damage/sensing; Cell death/senescence/cycle</t>
  </si>
  <si>
    <t>#86</t>
  </si>
  <si>
    <t>Xu 2025</t>
  </si>
  <si>
    <t>Extracellular DNA-mediated Differential Bystander Effects Induced by FLASH or Conventional Proton Radiation</t>
  </si>
  <si>
    <t>Xu, Y.; Guo, Z.; Ding, Y.; Wang, Q.; Sui, L.; Zhou, G.; Hu, W.</t>
  </si>
  <si>
    <t>Primary full article Radiation Research 2025 204:624–634, DOI 10.1667/RADE-24-00012.1, source-checked 2026-10-12.</t>
  </si>
  <si>
    <t>Ying Xu</t>
  </si>
  <si>
    <t>Soochow University and China Institute of Atomic Energy, China.</t>
  </si>
  <si>
    <t>Human nonmalignant lung epithelial cell lines BEAS-2B and HSAEC1-KT (in vitro).</t>
  </si>
  <si>
    <t>BEAS-2B and HSAEC1-KT normal human lung epithelial cells</t>
  </si>
  <si>
    <t>γH2AX immunofluorescence: 40 cells/group; independent replicate number for other endpoints not established in supplied Methods.</t>
  </si>
  <si>
    <t>N/A – in vitro lung epithelial cells</t>
  </si>
  <si>
    <t>0, 2, 4, 6, 8, and 15 Gy; 100 MeV proton exposure (in vitro).</t>
  </si>
  <si>
    <t>40 Gy/s</t>
  </si>
  <si>
    <t>Single exposure at each tested dose.</t>
  </si>
  <si>
    <t>100 MeV protons delivered by CYCIAE-100 proton cyclotron; cells irradiated in T25 culture flasks; specific physical field dimensions not provided in Methods.</t>
  </si>
  <si>
    <t>Conventional proton irradiation</t>
  </si>
  <si>
    <t>0, 2, 4, 6, 8, and 15 Gy (matched dose series).</t>
  </si>
  <si>
    <t>1.7 Gy/min = 0.0283 Gy/s.</t>
  </si>
  <si>
    <t>Yes, matched 0/2/4/6/8/15 Gy dose series.</t>
  </si>
  <si>
    <t>Radiation-induced bystander damage in normal lung epithelial cells</t>
  </si>
  <si>
    <t>γH2AX; cell viability; apoptosis; bystander response</t>
  </si>
  <si>
    <t>Conditioned medium 24 h after irradiation; ecDNA collected at 0, 6, 12, 24 h; γH2AX 30 min after treatment of bystanders; apoptosis 48 h; viability 72 h.</t>
  </si>
  <si>
    <t>Reported differential bystander injury; exact endpoint P values not established from available sources</t>
  </si>
  <si>
    <t>Conditioned medium/ecDNA from CONV caused more γH2AX, viability loss and apoptosis in bystander cells than material from FLASH-irradiated cells.</t>
  </si>
  <si>
    <t>Cellular inflammatory signaling only; not systemic thoracic immune endpoint</t>
  </si>
  <si>
    <t>Favorable/attenuated inflammatory bystander signaling</t>
  </si>
  <si>
    <t>Extracellular DNA; NF-κB; ROS; inflammation; apoptosis; DNA damage</t>
  </si>
  <si>
    <t>CONV-derived extracellular DNA more strongly activated NF-κB, inflammatory factors and ROS in bystander cells, whereas FLASH produced a weaker damaging bystander signal.</t>
  </si>
  <si>
    <t>Directly supported at cellular level</t>
  </si>
  <si>
    <t>ecDNA; NF-κB; ROS; γH2AX; apoptosis/inflammatory factors</t>
  </si>
  <si>
    <t>γH2AX immunofluorescence, CCK-8 viability, Annexin V/PI apoptosis, clonogenic assay, ecDNA extraction, qPCR, ROS/cytokine assays and NF-κB analysis.</t>
  </si>
  <si>
    <t>ecDNA 0/6/12/24 h; bystander γH2AX 30 min; NF-κB 6 h; apoptosis 48 h; viability 72 h.</t>
  </si>
  <si>
    <t>Independent cellular proton study.</t>
  </si>
  <si>
    <t>In vitro bystander model; no organ-level lung injury; exact total dose, replicates and timing need full-text verification.</t>
  </si>
  <si>
    <t>Yes – lung cellular/mechanistic</t>
  </si>
  <si>
    <t>Direct matched proton dose-rate comparison with mechanistic transfer experiments, limited to cultured cells.</t>
  </si>
  <si>
    <t>Proton FLASH generated a weaker ecDNA-mediated damaging bystander signal in normal lung epithelial cells than conventional proton irradiation.</t>
  </si>
  <si>
    <t>CONV-conditioned medium/ecDNA produced greater γH2AX, apoptosis and viability loss and stronger NF-κB/ROS inflammatory signaling than FLASH-derived material.</t>
  </si>
  <si>
    <t>FLASH 40 Gy/s vs CONV 1.7 Gy/min (0.0283 Gy/s); endpoint effect sizes/P values not established from available sources.</t>
  </si>
  <si>
    <t>Endpoint-specific group comparisons; exact tests not established from available sources full Methods</t>
  </si>
  <si>
    <t>ROS/redox/oxygen; Immune/inflammatory; DNA damage/sensing; Cell death/senescence/cycle</t>
  </si>
  <si>
    <t>#87</t>
  </si>
  <si>
    <t>Luo 2025</t>
  </si>
  <si>
    <t>FLASH irradiation-induced acute lung injury promotes metastatic colonization via neutrophil extracellular trap formation</t>
  </si>
  <si>
    <t>Medical Physics</t>
  </si>
  <si>
    <t>Luo, H.; Yang, C.; Vozenin, M.-C.; Mao, R.; Ma, L.; Lei, H.; Ge, H.</t>
  </si>
  <si>
    <t>Primary PubMed/Medical Physics article abstract; prior cohort-overlap audit</t>
  </si>
  <si>
    <t>Affiliated Cancer Hospital of Zhengzhou University, China; Lausanne University Hospital, Switzerland</t>
  </si>
  <si>
    <t>Male C57BL/6J mice, 8–10 weeks; proteomics cohort specifically 8 weeks</t>
  </si>
  <si>
    <t>SV2 lung adenocarcinoma cells injected intravenously after healthy-lung irradiation; non-breast metastasis model</t>
  </si>
  <si>
    <t>Principal in-vivo outcome experiments n=6/group; proteomics cohort sample number not clearly stated in supplement — do not infer</t>
  </si>
  <si>
    <t>Healthy lungs / whole thorax</t>
  </si>
  <si>
    <t>No dedicated endpoint</t>
  </si>
  <si>
    <t>120 Gy/s</t>
  </si>
  <si>
    <t>0.33 Gy/pulse</t>
  </si>
  <si>
    <t>4.0 μs</t>
  </si>
  <si>
    <t>360 Hz</t>
  </si>
  <si>
    <t>Not explicitly reported as total treatment time; nominal 10 Gy/120 Gy/s corresponds to ~0.083 s mean delivery time</t>
  </si>
  <si>
    <t>Whole thorax using circular collimator; SSD 100 cm</t>
  </si>
  <si>
    <t>Conventional (CONV) irradiation</t>
  </si>
  <si>
    <t>0.01 Gy/s</t>
  </si>
  <si>
    <t>Yes – 10 Gy ×1 in both groups</t>
  </si>
  <si>
    <t>Yes – 9-MeV electrons from the same Varian 23CX platform</t>
  </si>
  <si>
    <t>FLASH: 120 Gy/s, 0.33 Gy/pulse, 4.0 μs, 360 Hz, instantaneous dose rate 82,500 Gy/s; CONV: 0.01 Gy/s, 5.6×10⁻⁵ Gy/pulse, 4.0 μs, 180 Hz, instantaneous dose rate 13.9 Gy/s; both SSD 100 cm.</t>
  </si>
  <si>
    <t>Metastatic lung colonization after SV2 injection; non-breast contextual endpoint</t>
  </si>
  <si>
    <t>No clear FLASH-vs-CONV difference in acute metastatic enhancement</t>
  </si>
  <si>
    <t>Both irradiated groups showed equivalent enhanced metastatic colonization in the acute injury setting.</t>
  </si>
  <si>
    <t>Acute post-irradiation metastatic-colonization phase; exact schedule not established from available sources</t>
  </si>
  <si>
    <t>Not a primary breast-tumor control study</t>
  </si>
  <si>
    <t>Acute irradiated-lung microenvironment promoted seeding similarly after FLASH and CONV.</t>
  </si>
  <si>
    <t>Acute lung injury; inflammatory response; NET formation; healthy lung volume</t>
  </si>
  <si>
    <t>Micro-CT lung volume; acute injury/inflammation; metastatic niche</t>
  </si>
  <si>
    <t>Acute phase; exact days not established from available sources</t>
  </si>
  <si>
    <t>Comparable / neutral at acute time point</t>
  </si>
  <si>
    <t>No sparing difference demonstrated acutely</t>
  </si>
  <si>
    <t>FLASH and CONV triggered acute lung injury and inflammatory responses with a similar pattern.</t>
  </si>
  <si>
    <t>Neutrophil extracellular traps; inflammatory response</t>
  </si>
  <si>
    <t>Comparable / neutral acutely</t>
  </si>
  <si>
    <t>Neutrophil extracellular trap (NET) formation; inflammation; metastatic seeding</t>
  </si>
  <si>
    <t>NET formation promoted metastatic colonization after irradiation; inhibiting NETs delayed metastasis and stimulating NETs accelerated progression in both dose-rate groups.</t>
  </si>
  <si>
    <t>No at acute time point</t>
  </si>
  <si>
    <t>Functionally supported</t>
  </si>
  <si>
    <t>NET-associated proteins/markers; exact proteomic hits not established from available sources</t>
  </si>
  <si>
    <t>Micro-CT; H&amp;E; Ashcroft scoring; hydroxyproline; iTRAQ proteomics with Q Exactive LC-MS/MS; qPCR; Western blot; anti-Ly6G depletion; recombinant G-CSF; MPO-DNA ELISA</t>
  </si>
  <si>
    <t>Acute phase</t>
  </si>
  <si>
    <t>Uncertain – probable related cohort/program</t>
  </si>
  <si>
    <t>S24; #83</t>
  </si>
  <si>
    <t>Retain as the acute NETs/metastatic-colonization report; possible program overlap with S24, but no exact duplicate animal cohort is documented</t>
  </si>
  <si>
    <t>Related Zhengzhou whole-thorax program. S29 provides the acute 10-Gy NETs/metastatic-colonization experiment; S24 adds chronic 12-week fibrosis/macrophage outcomes. Retain both reports; avoid double-counting identical acute endpoints if later documentation shows reuse.</t>
  </si>
  <si>
    <t>Comparable / neutral acute lung response; boundary/negative for acute FLASH sparing</t>
  </si>
  <si>
    <t>Non-breast metastatic model; exact dosimetry/n unavailable in abstract; acute time window only; potential overlap with related reports.</t>
  </si>
  <si>
    <t>Yes – lung/immune, subject to overlap adjudication</t>
  </si>
  <si>
    <t>In-vivo direct comparison plus functional NET perturbation, but acute-only endpoint and cohort overlap/dosimetry details remain unresolved.</t>
  </si>
  <si>
    <t>FLASH did not spare the lung at the acute time point in this model; both FLASH and CONV induced similar inflammatory injury and NET-dependent metastatic colonization.</t>
  </si>
  <si>
    <t>Both modalities produced equivalent acute lung injury/inflammation and enhanced metastatic colonization, with NET formation functionally driving the metastatic effect.</t>
  </si>
  <si>
    <t>No FLASH-vs-CONV acute sparing effect reported; exact dose/rates and endpoint P values not established from available sources.</t>
  </si>
  <si>
    <t>Proteomic and endpoint group comparisons; exact tests not established from available sources full Methods</t>
  </si>
  <si>
    <t>#122</t>
  </si>
  <si>
    <t>Kuipers 2025</t>
  </si>
  <si>
    <t>Effect of FLASH proton therapy on primary bronchial epithelial cell organoids</t>
  </si>
  <si>
    <t>Clinical and Translational Radiation Oncology</t>
  </si>
  <si>
    <t>Kuipers, M.E.; van Liefferinge, F.; van der Wal, E.; Rovituso, M.; Slats, A.M.; Hiemstra, P.S.; Van Doorn-Wink, K.C.J.</t>
  </si>
  <si>
    <t>Primary PMC/PubMed article; prior primary-source audit for rate stratum</t>
  </si>
  <si>
    <t>Merian E Kuipers</t>
  </si>
  <si>
    <t>Leiden University Medical Center / Holland Proton Therapy Center, Netherlands</t>
  </si>
  <si>
    <t>Ex vivo / 3D organoid</t>
  </si>
  <si>
    <t>Human primary bronchial epithelial cells</t>
  </si>
  <si>
    <t>6 COPD donors: 4 male, 2 female; age 50–77 years (mean 63)</t>
  </si>
  <si>
    <t>Primary bronchial epithelial cell organoids from COPD donors</t>
  </si>
  <si>
    <t>6 donors; 6 samples per condition per donor for irradiation; RNA-seq used cultures from 3 donors</t>
  </si>
  <si>
    <t>N/A – bronchial epithelial organoids</t>
  </si>
  <si>
    <t>2 and 8 Gy</t>
  </si>
  <si>
    <t>PBS proton delivery; details not established from available sources</t>
  </si>
  <si>
    <t>250-MeV proton pencil beam laterally spread with a single scattering foil; 18-mm field, 97% uniformity</t>
  </si>
  <si>
    <t>CONV proton therapy</t>
  </si>
  <si>
    <t>15 Gy/min = 0.25 Gy/s</t>
  </si>
  <si>
    <t>DNA damage; progenitor/organoid-forming capacity; transcriptomic response</t>
  </si>
  <si>
    <t>γH2AX; organoid formation; RNA-seq/qPCR</t>
  </si>
  <si>
    <t>1 h; 24 h; 7 days</t>
  </si>
  <si>
    <t>Unfavorable FLASH / no sparing</t>
  </si>
  <si>
    <t>Yes – 2 Gy FLASH reduced 7-day organoid formation vs CONV (p=0.008); other endpoints largely comparable</t>
  </si>
  <si>
    <t>No difference in γH2AX or gene-expression profiles; at 7 days, 2-Gy FLASH caused significantly lower organoid formation than 2-Gy CONV.</t>
  </si>
  <si>
    <t>DNA damage response; apoptosis; proliferation/progenitor capacity; transcriptomics</t>
  </si>
  <si>
    <t>FLASH and CONV elicited similar DNA-damage and gene-expression responses, while the 2-Gy FLASH condition showed a prolonged detrimental effect on organoid-forming capacity.</t>
  </si>
  <si>
    <t>Direct phenotypic/molecular observations; mechanism not established</t>
  </si>
  <si>
    <t>γH2AX; MDM2; GDF15; DDB2; BAX; P21; AEN; MKi67</t>
  </si>
  <si>
    <t>3D organoid formation; γH2AX IF; bulk RNA-seq; qPCR</t>
  </si>
  <si>
    <t>1 h, 24 h, 7 days</t>
  </si>
  <si>
    <t>Independent human bronchial organoid study.</t>
  </si>
  <si>
    <t>Negative / no FLASH sparing</t>
  </si>
  <si>
    <t>Ex vivo COPD-derived bronchial organoids lack vascular/immune/alveolar compartments; low doses; comparator &gt;0.2 Gy/s; exact beam-rate values should be checked before granular reporting.</t>
  </si>
  <si>
    <t>Primary human 3D model with multiple endpoints and direct comparator; biological complexity remains limited.</t>
  </si>
  <si>
    <t>Proton FLASH did not spare primary human bronchial epithelial organoids and produced lower 7-day organoid-forming capacity than CONV after 2 Gy.</t>
  </si>
  <si>
    <t>No FLASH advantage was seen for DNA damage or gene expression; 2-Gy FLASH significantly reduced organoid formation at 7 days versus CONV (p=0.008).</t>
  </si>
  <si>
    <t>Dose-rate/timepoint group comparisons plus RNA-seq differential-expression analysis; exact tests in primary Methods</t>
  </si>
  <si>
    <t>#138</t>
  </si>
  <si>
    <t>Melemenidis 2025</t>
  </si>
  <si>
    <t>Effectiveness of FLASH vs. Conventional Dose Rate Radiotherapy in a Model of Orthotopic, Murine Breast Cancer</t>
  </si>
  <si>
    <t>Cancers</t>
  </si>
  <si>
    <t>Melemenidis, S.; Viswanathan, V.; Dutt, S.; Kapadia, N.; Lau, B.; Soto, L.A.; Ashraf, M.R.; Thakur, B.; Mutahar, A.Z.I.; Skinner, L.B.; Yu, A.S.; Surucu, M.; Casey, K.M.; Rankin, E.B.; Horst, K.C.; Graves, E.E.; Loo, B.W.; Dirbas, F.M.</t>
  </si>
  <si>
    <t>Primary Cancers/PMC full text</t>
  </si>
  <si>
    <t>Stavros Melemenidis</t>
  </si>
  <si>
    <t>Stanford University School of Medicine, USA</t>
  </si>
  <si>
    <t>C57BL/6J</t>
  </si>
  <si>
    <t>Py117 syngeneic orthotopic mammary tumor</t>
  </si>
  <si>
    <t>Study total n=67; key small-tumor groups n=7–8/group</t>
  </si>
  <si>
    <t>Left fourth mammary fat pad / abdominal-wall tumor field</t>
  </si>
  <si>
    <t>No – abdominal/inguinal mammary-field skin</t>
  </si>
  <si>
    <t>20, 25, 30 Gy ×1</t>
  </si>
  <si>
    <t>93–200</t>
  </si>
  <si>
    <t>Conventional-dose-rate electron RT</t>
  </si>
  <si>
    <t>0.08</t>
  </si>
  <si>
    <t>Yes, closely dose-matched</t>
  </si>
  <si>
    <t>16.6-MeV FLASH vs 15.7-MeV CONV; pulse/time structure differs</t>
  </si>
  <si>
    <t>Tumor regression, regrowth, complete remission/eradication, tumor-free survival</t>
  </si>
  <si>
    <t>Comparable control at 20–30 Gy; no significant FLASH-vs-CONV difference in 30-Gy comparisons.</t>
  </si>
  <si>
    <t>Up to 46–48 days</t>
  </si>
  <si>
    <t>Local skin toxicity outside thoracic-skin scope</t>
  </si>
  <si>
    <t>Not eligible – non-thoracic skin</t>
  </si>
  <si>
    <t>Not applicable — no thoracic immune/hematologic outcome</t>
  </si>
  <si>
    <t>Not primary</t>
  </si>
  <si>
    <t>Not applicable — no experimental mechanistic analysis</t>
  </si>
  <si>
    <t>Peer-reviewed article supersedes bioRxiv preprint; count once.</t>
  </si>
  <si>
    <t>Comparable / neutral tumor control</t>
  </si>
  <si>
    <t>Single syngeneic model; high single doses; skin toxicity limited one 30-Gy cohort; non-thoracic skin.</t>
  </si>
  <si>
    <t>Not applicable — biological study</t>
  </si>
  <si>
    <t>Electron FLASH preserved breast-tumor control relative to CONV across 20–30 Gy in an orthotopic Py117 model.</t>
  </si>
  <si>
    <t>30-Gy FLASH vs CONV tumor volumes were nonsignificant; reduced-margin treatment allowed 75% tumor-free survival at 48 days.</t>
  </si>
  <si>
    <t>Mann–Whitney U for specified tumor-volume comparisons</t>
  </si>
  <si>
    <t>#143</t>
  </si>
  <si>
    <t>Minami 2025</t>
  </si>
  <si>
    <t>The Appropriate Conditions for the Cell Sparing (FLASH) Effect Exist in Ultra‐high Dose Rate Carbon Ion Irradiation</t>
  </si>
  <si>
    <t>Anticancer Research</t>
  </si>
  <si>
    <t>Minami, K.; Yagi, M.; Fujita, K.; Nagata, K.; Hidani, R.; Hamatani, N.; Tsubouchi, T.; Takashina, M.; Umezawa, M.; Nomura, T.; Shimizu, M.; Kuwana, Y.; Fujimoto, J.; Shimizu, S.; Ogawa, K.</t>
  </si>
  <si>
    <t>Direct UHDR-vs-normal-dose-rate biological study</t>
  </si>
  <si>
    <t>Primary Anticancer Research/PubMed; parameters cross-checked</t>
  </si>
  <si>
    <t>Kazumasa Minami</t>
  </si>
  <si>
    <t>Osaka University / Osaka Heavy Ion Therapy Center, Japan</t>
  </si>
  <si>
    <t>Human cell lines</t>
  </si>
  <si>
    <t>Nuli-1 bronchial epithelial; HDF; HSGc-C5</t>
  </si>
  <si>
    <t>Not applicable — no physical irradiation field</t>
  </si>
  <si>
    <t>Up to 6.5</t>
  </si>
  <si>
    <t>100</t>
  </si>
  <si>
    <t>7×7 scanned spots; LET 19 or 50 keV/μm</t>
  </si>
  <si>
    <t>Normal/conventional dose-rate carbon-ion irradiation</t>
  </si>
  <si>
    <t>Matched up to 6.5</t>
  </si>
  <si>
    <t>No breast tumor endpoint</t>
  </si>
  <si>
    <t>Normal bronchial-cell survival and DNA damage</t>
  </si>
  <si>
    <t>Nuli-1 survival/clonogenicity; γH2AX</t>
  </si>
  <si>
    <t>UHDR carbon ions significantly spared normal cells and reduced γH2AX; effect depended on LET and oxygen.</t>
  </si>
  <si>
    <t>Not applicable — no cardiac outcome assessed</t>
  </si>
  <si>
    <t>Not applicable — no thoracic-skin biological endpoint</t>
  </si>
  <si>
    <t>Oxygen dependence; LET; DNA damage</t>
  </si>
  <si>
    <t>Higher LET strengthened sparing; γH2AX was lower after UHDR.</t>
  </si>
  <si>
    <t>Colony formation/cell survival; immunofluorescence</t>
  </si>
  <si>
    <t>Related methodological program to S10</t>
  </si>
  <si>
    <t>No publication overlap documented in current ledger</t>
  </si>
  <si>
    <t>In vitro; comparator 1 Gy/s; carbon-ion generalizability.</t>
  </si>
  <si>
    <t>Yes – lung cellular</t>
  </si>
  <si>
    <t>Carbon-ion UHDR spared normal bronchial epithelial cells under defined LET/oxygen conditions and reduced DNA damage versus 1-Gy/s irradiation.</t>
  </si>
  <si>
    <t>See study limitations; independent risk-of-bias appraisal not performed</t>
  </si>
  <si>
    <t>See study conclusion; no additional extractable result recorded</t>
  </si>
  <si>
    <t>#144</t>
  </si>
  <si>
    <t>Li 2025</t>
  </si>
  <si>
    <t>Molecular mechanisms of lung injury from ultra high and conventional dose rate pulsed radiation based on 4D DIA proteomics study</t>
  </si>
  <si>
    <t>Scientific reports</t>
  </si>
  <si>
    <t>Li, M.; Zhang, L.; Gao, A.; Xu, J.; Wang, X.; Liu, X.; Yan, D.; Zou, D.; Wu, S.; Sun, B.; Dong, G.; Wang, C.</t>
  </si>
  <si>
    <t>Primary Scientific Reports/PMC</t>
  </si>
  <si>
    <t>MengHua Li</t>
  </si>
  <si>
    <t>Anhui Medical University / Beijing Institute of Radiation Medicine, China</t>
  </si>
  <si>
    <t>Healthy mice</t>
  </si>
  <si>
    <t>Whole body; lung analyzed</t>
  </si>
  <si>
    <t>3</t>
  </si>
  <si>
    <t>200</t>
  </si>
  <si>
    <t>Conventional electron irradiation</t>
  </si>
  <si>
    <t>0.3</t>
  </si>
  <si>
    <t>Lung histology, fibrosis, 4D-DIA proteomics</t>
  </si>
  <si>
    <t>H&amp;E; Masson; CCT6b/EMT proteomic validation</t>
  </si>
  <si>
    <t>3 months</t>
  </si>
  <si>
    <t>Yes for reported fibrosis/protein endpoints</t>
  </si>
  <si>
    <t>Less fibrosis after FLASH with preserved CCT6b/E-cadherin and lower α-SMA/vimentin remodeling.</t>
  </si>
  <si>
    <t>Proteomics; EMT/fibrosis</t>
  </si>
  <si>
    <t>Preserved CCT6b correlated with less EMT-like fibrotic remodeling after FLASH.</t>
  </si>
  <si>
    <t>CCT6b; E-cadherin; α-SMA; vimentin</t>
  </si>
  <si>
    <t>H&amp;E; Masson; 4D-Fast DIA proteomics; Western blot; IF</t>
  </si>
  <si>
    <t>No confirmed overlap</t>
  </si>
  <si>
    <t>Only 3 Gy whole-body exposure; single 3-month endpoint; mechanism associative.</t>
  </si>
  <si>
    <t>At 3 months after 3-Gy electron exposure, FLASH reduced lung fibrosis and preserved a CCT6b-associated epithelial phenotype relative to CONV.</t>
  </si>
  <si>
    <t>#149</t>
  </si>
  <si>
    <t>Ford 2025</t>
  </si>
  <si>
    <t>Respiratory-gated micro-computed tomography imaging to measure radiation-induced lung injuries in mice following ultra-high dose-rate and conventional dose-rate radiation therapy</t>
  </si>
  <si>
    <t>Journal of Medical Imaging</t>
  </si>
  <si>
    <t>Ford, N.L.; Ren, X.; Egoriti, L.; Esplen, N.; Radel, S.; Humphries, B.; Koay, H.-W.; Planche, T.; Hoehr, C.; Gottberg, A.; Bazalova-Carter, M.</t>
  </si>
  <si>
    <t>Primary full Journal of Medical Imaging 2025 article, DOI 10.1117/1.JMI.12.1.014002; source-checked 2026-10-12.</t>
  </si>
  <si>
    <t>Nancy Lee Ford</t>
  </si>
  <si>
    <t>University of British Columbia / TRIUMF, Canada</t>
  </si>
  <si>
    <t>C57BL/6</t>
  </si>
  <si>
    <t>Male; 10–12 weeks at irradiation</t>
  </si>
  <si>
    <t>Not applicable — no tumor model</t>
  </si>
  <si>
    <t>n=6/group; 30 total</t>
  </si>
  <si>
    <t>Thorax</t>
  </si>
  <si>
    <t>Prescribed 15 or 30 Gy ×1; measured 14.57 ± 0.80 Gy (15-Gy arm) and 29.65 ± 1.57 Gy (30-Gy arm).</t>
  </si>
  <si>
    <t>Mean delivered: 89.79 ± 7.67 Gy/s (15 Gy); 97.58 ± 14.12 Gy/s (30 Gy).</t>
  </si>
  <si>
    <t>Conventional photon RT</t>
  </si>
  <si>
    <t>Prescribed 15 or 30 Gy ×1; measured 11.74 ± 0.76 Gy (15-Gy arm) and 32.94 ± 0.49 Gy (30-Gy arm).</t>
  </si>
  <si>
    <t>Mean delivered: 0.036 ± 0.003 Gy/s (15 Gy); 0.060 ± 0.005 Gy/s (30 Gy).</t>
  </si>
  <si>
    <t>Same prescribed dose, but measured doses differed notably at 15 Gy (14.57 vs 11.74 Gy) and 30 Gy (29.65 vs 32.94 Gy).</t>
  </si>
  <si>
    <t>Serial respiratory-gated micro-CT and terminal histology</t>
  </si>
  <si>
    <t>FRC, tidal volume, CT density, pneumonitis/fibrosis, histology</t>
  </si>
  <si>
    <t>15 Gy/control: 2,4,6,9,12,24 weeks; 30 Gy: 3,6,9,12,18 weeks; histology at last timepoint.</t>
  </si>
  <si>
    <t>Mixed / dose-dependent; favorable at 30 Gy</t>
  </si>
  <si>
    <t>Endpoint-dependent</t>
  </si>
  <si>
    <t>Minimal differences at 15 Gy; 30-Gy FLASH better preserved lung function and reduced severe late injury.</t>
  </si>
  <si>
    <t>Respiratory-gated micro-CT; histology</t>
  </si>
  <si>
    <t>Mixed / dose-dependent</t>
  </si>
  <si>
    <t>Same prescribed dose but measured dose mismatch, especially 15 Gy; endpoint timing differs (18 vs 24 weeks); shared animals with associated FIRST source characterization; functional differences often not significant between FLASH and CONV.</t>
  </si>
  <si>
    <t>Photon FLASH produced little advantage at 15 Gy but better preserved lung function and reduced severe late injury at 30 Gy.</t>
  </si>
  <si>
    <t>30 mice total, n=6/group; delivered doses FLASH vs CONV: 14.57±0.80 vs 11.74±0.76 Gy (nominal 15 Gy) and 29.65±1.57 vs 32.94±0.49 Gy (nominal 30 Gy); dose-rate FLASH ~90/98 Gy/s vs CONV ~0.036/0.060 Gy/s.</t>
  </si>
  <si>
    <t>#150</t>
  </si>
  <si>
    <t>DelDebbio 2025</t>
  </si>
  <si>
    <t>Mitigating the side effects of conventional radiotherapy: deep examination of the FLASH effect on human healthy bronchial epithelial cell line</t>
  </si>
  <si>
    <t>Cancer Treatment and Research Communications</t>
  </si>
  <si>
    <t>Del Debbio, F.; Bertilacchi, M.S.; Cavalieri, A.; Gadducci, G.; Giannini, N.; Gonnelli, A.; Zanacchi, F.C.; Noferi, B.; Catanzariti, A.; De Felice, M.; Giacomelli, C.; Di Martino, F.; Martini, C.; Da Pozzo, E.; Paiar, F.; Capaccioli, S.</t>
  </si>
  <si>
    <t>Primary Cancer Treatment and Research Communications/PubMed</t>
  </si>
  <si>
    <t>Francesca Del Debbio</t>
  </si>
  <si>
    <t>University of Pisa / CPFR, Italy</t>
  </si>
  <si>
    <t>Human bronchial epithelial cells</t>
  </si>
  <si>
    <t>16HBE healthy human bronchial epithelial cells; A549 human lung adenocarcinoma cells used for clonogenic tumor-cell comparison</t>
  </si>
  <si>
    <t>Three independent experiments, each performed in triplicate</t>
  </si>
  <si>
    <t>2, 4, 8, and 12 Gy ×1</t>
  </si>
  <si>
    <t>275 Gy/s</t>
  </si>
  <si>
    <t>1 Gy/pulse</t>
  </si>
  <si>
    <t>Not reported</t>
  </si>
  <si>
    <t>Cells on 12-mm solid-water buildup; beam delivered from beneath culture plate at 180° using 12-cm-diameter collimator; room temperature, normoxia</t>
  </si>
  <si>
    <t>Conventional electron RT</t>
  </si>
  <si>
    <t>6 Gy/min = 0.10 Gy/s</t>
  </si>
  <si>
    <t>FLASH: 275 Gy/s, 1 Gy/pulse; CONV: 0.10 Gy/s, 0.02 Gy/pulse. Irradiations otherwise performed on the same LINAC/setup.</t>
  </si>
  <si>
    <t>A549 clonogenic survival after 2, 4, 8, and 12 Gy</t>
  </si>
  <si>
    <t>Comparable / neutral in A549 lung cancer cells; non-breast tumor context</t>
  </si>
  <si>
    <t>No significant FLASH-vs-CONV difference at 2 or 4 Gy; survival &lt;5% at 8 Gy under both modalities</t>
  </si>
  <si>
    <t>A549 clonogenic survival was comparable between FLASH and CONV, supporting preserved tumor-cell killing in this lung-cancer cell model</t>
  </si>
  <si>
    <t>14-day clonogenic assay</t>
  </si>
  <si>
    <t>Yes at the in-vitro clonogenic level in A549 cells; not relevant to breast-tumor denominator</t>
  </si>
  <si>
    <t>ROS/oxidation, viability, apoptosis, cell cycle, early fibrosis markers</t>
  </si>
  <si>
    <t>16HBE clonogenic survival; ROS; protein oxidation; SOD activity; apoptosis/cell death; cell cycle; NF-κB; p21/p-p53; E-/N-cadherin; vimentin; wound healing</t>
  </si>
  <si>
    <t>ROS: 5–90 min; SOD: 5 min, 90 min, 18 h; protein oxidation/WB: 24 h; cell cycle: 24 and 72 h; apoptosis: 72 h; vimentin: 24 and 72 h; wound healing: 0–42 h; clonogenic survival: 14 days</t>
  </si>
  <si>
    <t>Yes – multiple endpoints favored FLASH, particularly at 2–4 Gy</t>
  </si>
  <si>
    <t>FLASH increased 16HBE clonogenic survival, reduced ROS/protein oxidation and cell death, avoided the 2-Gy CONV-associated cell-cycle arrest, reduced NF-κB/EMT-associated changes, and lowered vimentin expression versus CONV.</t>
  </si>
  <si>
    <t>Oxidative stress/antioxidant defense; p53–p21 DNA-damage response; cell-cycle regulation; apoptosis/necrosis; NF-κB inflammation; EMT/early fibrotic remodeling</t>
  </si>
  <si>
    <t>FLASH reduced oxidative injury and inflammatory/EMT-associated signaling while preserving normal bronchial epithelial-cell survival; the authors implicate altered free-radical/antioxidant biology in the FLASH effect.</t>
  </si>
  <si>
    <t>ROS, oxidized proteins, SOD, p21, phospho-p53 Ser15, NF-κB p65, E-cadherin, N-cadherin, vimentin, Annexin V/7-AAD</t>
  </si>
  <si>
    <t>Clonogenic assay; DCFH-DA ROS assay; protein-carbonyl assay; SOD assay; Annexin V/7-AAD; cell-cycle flow analysis; Western blot; vimentin immunofluorescence; wound-healing assay</t>
  </si>
  <si>
    <t>Positive / favors FLASH for normal bronchial epithelial-cell sparing; A549 tumor-cell killing comparable</t>
  </si>
  <si>
    <t>In vitro; exact dosimetry/replicate details need verification; early surrogate markers.</t>
  </si>
  <si>
    <t>Yes – direct lung cellular FLASH-vs-CONV evidence</t>
  </si>
  <si>
    <t>Moderate–High for cellular mechanistic evidence</t>
  </si>
  <si>
    <t>Electron FLASH reduced oxidative injury, cell death and early fibrotic signaling in healthy human bronchial epithelial cells relative to CONV.</t>
  </si>
  <si>
    <t>Three independent experiments in triplicate; ordinary one-way ANOVA with Tukey or Dunnett post hoc tests; Student t tests for fluorescence analyses; p&lt;0.05 significant</t>
  </si>
  <si>
    <t>ROS/redox/oxygen; Immune/inflammatory; Cell death/senescence/cycle; Fibrosis/TGF-β/remodeling</t>
  </si>
  <si>
    <t>#165</t>
  </si>
  <si>
    <t>Chen 2024</t>
  </si>
  <si>
    <t>Mesoporous Microneedles Enabled Localized Controllable Delivery of Stimulator of Interferon Gene Agonist Nanoexosomes for FLASH Radioimmunotherapy against Breast Cancer</t>
  </si>
  <si>
    <t>2024</t>
  </si>
  <si>
    <t>ACS applied materials &amp; interfaces</t>
  </si>
  <si>
    <t>Chen, Z.; Hu, F.; Xiang, J.; Zhou, X.; Wu, B.; Fan, B.; Tang, H.; Liu, B.; Chen, L.</t>
  </si>
  <si>
    <t>FLASH-only combination / therapeutic-modulation study</t>
  </si>
  <si>
    <t>Primary ACS Applied Materials &amp; Interfaces/PubMed</t>
  </si>
  <si>
    <t>Zhiran Chen</t>
  </si>
  <si>
    <t>Multiple institutions, China</t>
  </si>
  <si>
    <t>In vitro + in vivo</t>
  </si>
  <si>
    <t>Female, 6 weeks old</t>
  </si>
  <si>
    <t>4T1 murine breast cancer; bilateral subcutaneous model: 5×10⁶ 4T1 cells right flank (primary tumor) and 1×10⁶ 4T1 cells left flank (distant/abscopal tumor)</t>
  </si>
  <si>
    <t>In vivo n=5/group; principal in-vitro assays n=3</t>
  </si>
  <si>
    <t>Localized right-flank primary 4T1 tumor</t>
  </si>
  <si>
    <t>300 Gy/s</t>
  </si>
  <si>
    <t>No matched CONV comparator for the main tumor/immune experiments; a conventional-RT group appears only in the supplementary toxicity comparison</t>
  </si>
  <si>
    <t>Main groups: PBS, FLASH (F), MEM, MLM+F, MEM+F. Supplementary toxicity comparison: PBS, EM/MEM+conventional RT, and MEM+FLASH.</t>
  </si>
  <si>
    <t>N/A</t>
  </si>
  <si>
    <t>None established from available source material</t>
  </si>
  <si>
    <t>Primary/metastatic control and recurrence</t>
  </si>
  <si>
    <t>MSA-2 microneedle/exosome delivery plus FLASH improved primary/metastatic tumor control and prevented recurrence.</t>
  </si>
  <si>
    <t>Tumor volume/body weight monitored every 2 days; mice sacrificed 21 days post-treatment for tumor, lymph-node and organ analyses</t>
  </si>
  <si>
    <t>FLASH treatment backbone; no matched CONV inference</t>
  </si>
  <si>
    <t>Tumor immune microenvironment; dendritic-cell maturation; type-I IFN</t>
  </si>
  <si>
    <t>Combination favorable; not dose-rate comparative</t>
  </si>
  <si>
    <t>STING/type-I interferon; dendritic-cell maturation</t>
  </si>
  <si>
    <t>Localized MSA-2 activated STING during FLASH, increased type-I IFN and dendritic-cell maturation and remodeled the TME.</t>
  </si>
  <si>
    <t>Combination mechanism supported</t>
  </si>
  <si>
    <t>STING; type-I IFN; DC maturation markers</t>
  </si>
  <si>
    <t>In vitro immune/STING assays mainly 24 h after treatment; in-vivo tumor/immune harvest at day 21; immune-memory blood collection 14 days after rechallenge treatment</t>
  </si>
  <si>
    <t>Yes as combination study; no for direct comparator denominator</t>
  </si>
  <si>
    <t>Positive combination efficacy; dose-rate effect not evaluable</t>
  </si>
  <si>
    <t>Cannot isolate dose-rate effect; exact RT parameters need full Methods.</t>
  </si>
  <si>
    <t>Contextual only – exclude from direct comparator denominator</t>
  </si>
  <si>
    <t>Localized STING-agonist nanoexosome delivery augmented FLASH radioimmunotherapy against primary/metastatic breast cancer without providing a clean dose-rate comparison.</t>
  </si>
  <si>
    <t>One-way ANOVA using GraphPad Prism 5.0; data mean ± SD; significance thresholds *P&lt;0.05, **P&lt;0.01, *P&lt;0.005</t>
  </si>
  <si>
    <t>#196</t>
  </si>
  <si>
    <t>Portier 2024</t>
  </si>
  <si>
    <t>Differential Remodeling of the Oxylipin Pool After FLASH Versus Conventional Dose-Rate Irradiation In Vitro and In Vivo</t>
  </si>
  <si>
    <t>Portier, L.; Daira, P.; Fourmaux, B.; Heinrich, S.; Becerra, M.; Fouillade, C.; Berthault, N.; Dutreix, M.; Londoño-Vallejo, A.; Verrelle, P.; Bernoud-Hubac, N.; Favaudon, V.</t>
  </si>
  <si>
    <t>Direct FLASH-vs-CONV mechanistic study</t>
  </si>
  <si>
    <t>Primary IJROBP/PubMed</t>
  </si>
  <si>
    <t>Lucie Portier</t>
  </si>
  <si>
    <t>Institut Curie / INSA Lyon, France</t>
  </si>
  <si>
    <t>C57BL/6J mice; RPE1-hTERT normal human epithelial cells; SK-MEL-28 melanoma cells</t>
  </si>
  <si>
    <t>Female C57BL/6J mice; purchased at 6 weeks and irradiated at 10 weeks</t>
  </si>
  <si>
    <t>RPE1-hTERT normal human retinal pigment epithelial cells; SK-MEL-28 melanoma cells; no in-vivo tumor model</t>
  </si>
  <si>
    <t>In vitro: 6–9 replicates/condition; mouse-lung experiment: n=8</t>
  </si>
  <si>
    <t>Bilateral thorax</t>
  </si>
  <si>
    <t>Mouse lung: 12.80 ± 0.06 Gy actual delivered dose (~13 Gy nominal)</t>
  </si>
  <si>
    <t>640 Gy/s</t>
  </si>
  <si>
    <t>3.2 Gy/pulse</t>
  </si>
  <si>
    <t>3.5 μs</t>
  </si>
  <si>
    <t>150 Hz</t>
  </si>
  <si>
    <t>20 ms duty time</t>
  </si>
  <si>
    <t>Bilateral thorax; ElectronFLASH-4000 with 120-mm internal-diameter PMMA applicator providing &gt;110-mm homogeneous field</t>
  </si>
  <si>
    <t>13.20 ± 0.08 Gy actual delivered dose (~13 Gy nominal)</t>
  </si>
  <si>
    <t>0.80 Gy/s</t>
  </si>
  <si>
    <t>Approximately yes: 13.20 ± 0.08 Gy CONV vs 12.80 ± 0.06 Gy FLASH</t>
  </si>
  <si>
    <t>FLASH: 4 pulses, 3.2 Gy/pulse, 3.5 μs, 150 Hz, intrapulse rate 9.14×10⁵ Gy/s; CONV: 250 pulses, 0.080 Gy/pulse, 4.0 μs, 10 Hz, intrapulse rate 2.0×10⁴ Gy/s</t>
  </si>
  <si>
    <t>Oxylipin remodeling in normal cells and mouse lung</t>
  </si>
  <si>
    <t>Targeted oxylipin lipidomics</t>
  </si>
  <si>
    <t>5 min, 24 h, 1 week, 2 months</t>
  </si>
  <si>
    <t>Not directly evaluable for tissue sparing; FLASH-specific mechanistic difference</t>
  </si>
  <si>
    <t>Yes for selected oxylipins at 5 min; differences largely resolved by 24 h and none remained significant at 2 months</t>
  </si>
  <si>
    <t>At 5 min, selected oxylipins were significantly lower after FLASH than CONV; total lung oxylipins were 84.3 ± 5.5 nmol/g after CONV vs 78.0 ± 7.6 nmol/g after FLASH.</t>
  </si>
  <si>
    <t>Lipid peroxidation; oxylipins; oxygen/radical chemistry</t>
  </si>
  <si>
    <t>Normal cells showed a FLASH-specific 20–50% early oxylipin decrease not reproduced in tumor cells.</t>
  </si>
  <si>
    <t>Yes, mechanistically suggestive</t>
  </si>
  <si>
    <t>5-HETE, 8-HETE, 12-HETE, 15-HETE, LTB4, 8-epiPGF2α, PGF2α, 5-/15-oxoETE, HEPEs, HDoHEs, TxB2</t>
  </si>
  <si>
    <t>UPLC/electrospray-ionization tandem mass spectrometry (UPLC-MS/MS)</t>
  </si>
  <si>
    <t>5 min, 24 h, 1 week, 2 months in vivo; principally 5 min in vitro</t>
  </si>
  <si>
    <t>Related Institut Curie lung program; no confirmed reuse</t>
  </si>
  <si>
    <t>Mechanistic FLASH-specific difference; lung sparing not directly demonstrated</t>
  </si>
  <si>
    <t>Biochemical surrogate; no direct functional lung endpoint; exact doses/rates and cohort overlap not established from available sources.</t>
  </si>
  <si>
    <t>Yes – mechanistic lung evidence; exclude from direct lung-sparing direction denominator</t>
  </si>
  <si>
    <t>Moderate–High for mechanistic evidence</t>
  </si>
  <si>
    <t>FLASH produced a rapid normal-cell-specific suppression of oxylipins consistent with altered lipid-radical chemistry, with transient analogous changes in mouse lung.</t>
  </si>
  <si>
    <t>At 5 min, normal-cell oxylipin levels were 20–50% lower after FLASH than unirradiated/CONV conditions.</t>
  </si>
  <si>
    <t>Wilcoxon/Mann–Whitney rank-sum test for unpaired data; mean ± SEM</t>
  </si>
  <si>
    <t>#202</t>
  </si>
  <si>
    <t>Kim 2024</t>
  </si>
  <si>
    <t>FLASH Proton Radiation Therapy Mitigates Inflammatory and Fibrotic Pathways and Preserves Cardiac Function in a Preclinical Mouse Model of Radiation-Induced Heart Disease</t>
  </si>
  <si>
    <t>Kim, K.; Kim, M.M.; Skoufos, G.; Diffenderfer, E.S.; Motlagh, S.A.O.; Kokkorakis, M.; Koliaki, I.; Morcos, G.; Shoniyozov, K.; Griffin, J.; Hatzigeorgiou, A.G.; Metz, J.M.; Lin, A.; Feigenberg, S.J.; Cengel, K.A.; Ky, B.; Koumenis, C.; Verginadis, I.I.</t>
  </si>
  <si>
    <t>Primary IJROBP/PMC</t>
  </si>
  <si>
    <t>Kyle Kim</t>
  </si>
  <si>
    <t>University of Pennsylvania, USA</t>
  </si>
  <si>
    <t>Mouse – not established from available sources strain</t>
  </si>
  <si>
    <t>Endpoint-specific n not established from available sources</t>
  </si>
  <si>
    <t>Focal cardiac apex</t>
  </si>
  <si>
    <t>39.95 ± 0.09</t>
  </si>
  <si>
    <t>122.65 ± 2.35</t>
  </si>
  <si>
    <t>Shoot-through beam; 5-mm circular collimator</t>
  </si>
  <si>
    <t>Standard/conventional proton RT</t>
  </si>
  <si>
    <t>39.93 ± 0.40</t>
  </si>
  <si>
    <t>0.84 ± 0.07</t>
  </si>
  <si>
    <t>γH2AX; RNA-seq; cytokines; TGF-β1/α-SMA; collagen; echocardiography</t>
  </si>
  <si>
    <t>Local cardiac inflammatory cytokines/chemokines</t>
  </si>
  <si>
    <t>DNA damage; TNF/inflammation; TGF-β/fibrosis; mitochondrial/ATP</t>
  </si>
  <si>
    <t>FLASH attenuated inflammatory/profibrotic signaling and preserved mitochondrial/functional programs compared with standard PRT.</t>
  </si>
  <si>
    <t>γH2AX; TGF-β1; α-SMA; cytokines; collagen</t>
  </si>
  <si>
    <t>RNA-seq; multiplex cytokines; IF; Masson/Picrosirius red; echocardiography</t>
  </si>
  <si>
    <t>1 h; 2 weeks; 8 and 30 weeks</t>
  </si>
  <si>
    <t>Very high focal 40-Gy dose; small apex field; comparator 0.84 Gy/s.</t>
  </si>
  <si>
    <t>High</t>
  </si>
  <si>
    <t>Proton FLASH reduced inflammatory/fibrotic cardiac remodeling and better preserved function than standard proton RT after focal 40-Gy apex irradiation.</t>
  </si>
  <si>
    <t>Immune/inflammatory; DNA damage/sensing; Fibrosis/TGF-β/remodeling; Mitochondrial/metabolism</t>
  </si>
  <si>
    <t>#214</t>
  </si>
  <si>
    <t>Franciosini 2024</t>
  </si>
  <si>
    <t>IOeRT conventional and FLASH treatment planning system implementation exploiting fast GPU Monte Carlo: The case of breast cancer</t>
  </si>
  <si>
    <t>Physica Medica</t>
  </si>
  <si>
    <t>Franciosini, G.; Carlotti, D.; Cattani, F.; De Gregorio, A.; De Liso, V.; De Rosa, F.; Di Francesco, M.; Di Martino, F.; Felici, G.; Pensavalle, J.H.; Leonardi, M.C.; Marafini, M.; Muscato, A.; Paiar, F.; Patera, V.; Poortmans, P.; Sciubba, A.; Schiavi, A.; Toppi, M.; Traini, G.; Trigilio, A.; Sarti, A.</t>
  </si>
  <si>
    <t>Primary Physica Medica 2024 article, 121:103346, DOI 10.1016/j.ejmp.2024.103346; source-checked 2026-10-12.</t>
  </si>
  <si>
    <t>Gaia Franciosini</t>
  </si>
  <si>
    <t>Sapienza/INFN and collaborating Italian centers</t>
  </si>
  <si>
    <t>Treatment planning / Monte Carlo</t>
  </si>
  <si>
    <t>Clinical breast IOeRT anatomy/planning</t>
  </si>
  <si>
    <t>Early-stage breast cancer IOeRT scenario</t>
  </si>
  <si>
    <t>Single anthropomorphic RANDO male phantom modified with silicone breast prosthesis; multiple simulated energies, applicators, and positions; no patient or animal cohort.</t>
  </si>
  <si>
    <t>Intraoperative partial-breast target</t>
  </si>
  <si>
    <t>Yes – dosimetry only</t>
  </si>
  <si>
    <t>20 Gy prescribed to cover PTV (simulation, single fraction)</t>
  </si>
  <si>
    <t>Modeled UHDR/FLASH regime; no measured treatment-specific rate; FLASH discussed as &gt;40 Gy/s (context, not experimentally measured).</t>
  </si>
  <si>
    <t>Not applicable — in-silico TPS, no delivered pulses</t>
  </si>
  <si>
    <t>Not applicable — in-silico TPS</t>
  </si>
  <si>
    <t>Not applicable — TPS computation time is not irradiation time</t>
  </si>
  <si>
    <t>Single-fraction 20 Gy modeled</t>
  </si>
  <si>
    <t>In-silico intraoperative electron radiotherapy: 8/10/12 MeV beams; applicators 40, 50, 60, 70 mm internal diameters; PTV approximately spherical (mean radius 2.5 cm) with center 3.8 cm below surface; RPD shielding; beam position 3×3 grid at 10-mm increments.</t>
  </si>
  <si>
    <t>Yes — modeled CONV and FLASH planning scenarios (no experimental comparator)</t>
  </si>
  <si>
    <t>Conventional dose-rate IOeRT planning scenario vs FLASH-modified-dose model, not physical irradiation</t>
  </si>
  <si>
    <t>20 Gy modeled</t>
  </si>
  <si>
    <t>0.05–0.5 Gy/s described as conventional IOeRT range (context, not measured for a treatment)</t>
  </si>
  <si>
    <t>Not applicable — no paired dose comparator</t>
  </si>
  <si>
    <t>Not applicable — no paired modality comparator</t>
  </si>
  <si>
    <t>Simulated absorbed-dose distribution identical physics with modeled FLASH modifying factor; no experimentally delivered FLASH or CONV beams. Model uses dose threshold 16.6 Gy and minimum FLASH-modifying factor 0.5 (assumptions from prior data).</t>
  </si>
  <si>
    <t>PTV coverage only</t>
  </si>
  <si>
    <t>Breast ROI, pectoral muscle and skin dose-volume metrics</t>
  </si>
  <si>
    <t>Skin dose/BED/FLASH-modified DVH</t>
  </si>
  <si>
    <t>Positive planning feasibility; not biological</t>
  </si>
  <si>
    <t>Fast GPU Monte Carlo TPS; ultrasound-based anatomy; DVH modeling</t>
  </si>
  <si>
    <t>No known biological overlap</t>
  </si>
  <si>
    <t>Yes – planning evidence</t>
  </si>
  <si>
    <t>Positive planning feasibility</t>
  </si>
  <si>
    <t>In-silico phantom simulation, not physical FLASH irradiation or observed biological sparing; FLASH modifying factor imported from prior work; no patient validation; simulation compute time is not radiation treatment time.</t>
  </si>
  <si>
    <t>Breast-specific GPU Monte Carlo planning evidence demonstrating feasibility, but no delivered FLASH treatment or observed biological tumor or normal tissue effect; include only in planning/translational synthesis.</t>
  </si>
  <si>
    <t>A GPU-accelerated Monte Carlo TPS generated and optimized simulated conventional and FLASH-aware partial-breast IOeRT plans within a clinically practical intraoperative time window.</t>
  </si>
  <si>
    <t>Modeled prescription 20 Gy to 90% of PTV; energy-plan optimization 13 s, applicator optimization 16 s, nine-position scan 35 s; modeled FLASH sparing depended on assumed modifying factor.</t>
  </si>
  <si>
    <t>20 Gy modeled prescription; target V95 92%, 96%, 97% for 8, 10, 12 MeV with 50-mm applicator; 13 s energy optimization, 16 s applicator diameter, 35 s 9-position scan; modeled FLASH factor FMFmin=0.5, threshold=16.6 Gy.</t>
  </si>
  <si>
    <t>GPU Monte Carlo dosimetry and dose-volume histograms; no biological hypothesis testing/statistical P value.</t>
  </si>
  <si>
    <t>#237</t>
  </si>
  <si>
    <t>Sesink 2024</t>
  </si>
  <si>
    <t>The AsiDNA™ decoy mimicking DSBs protects the normal tissue from radiation toxicity through a DNA-PK/p53/p21-dependent G1/S arrest</t>
  </si>
  <si>
    <t>NAR Cancer</t>
  </si>
  <si>
    <t>Sesink, A.; Becerra, M.; Ruan, J.-L.; Leboucher, S.; Dubail, M.; Heinrich, S.; Jdey, W.; Petersson, K.; Fouillade, C.; Berthault, N.; Dutreix, M.; Girard, P.-M.</t>
  </si>
  <si>
    <t>Direct FLASH-vs-CONV normal-tissue study embedded in AsiDNA radioprotection study</t>
  </si>
  <si>
    <t>Primary NAR Cancer/PMC + GEO GSE240510</t>
  </si>
  <si>
    <t>Anouk Sesink</t>
  </si>
  <si>
    <t>Institut Curie / Paris-Saclay with Oxford/Lund collaborators</t>
  </si>
  <si>
    <t>In vitro + ex vivo + in vivo</t>
  </si>
  <si>
    <t>C57BL/6J mice plus normal epithelial/fibroblast systems</t>
  </si>
  <si>
    <t>Endpoint-specific n not established from available sources; scRNA-seq = 1 sample/condition</t>
  </si>
  <si>
    <t>13</t>
  </si>
  <si>
    <t>&gt;100</t>
  </si>
  <si>
    <t>0.4</t>
  </si>
  <si>
    <t>Late lung fibrosis; scRNA-seq profibrotic signatures; AsiDNA radioprotection</t>
  </si>
  <si>
    <t>Serial micro-CT fibrosis; cellular states/scRNA-seq</t>
  </si>
  <si>
    <t>Monthly from 4 months; scRNA-seq at 5 months</t>
  </si>
  <si>
    <t>FLASH and CONV+AsiDNA showed less profibrotic remodeling than CONV; fibroblast/macrophage signatures converged.</t>
  </si>
  <si>
    <t>Macrophage/fibroblast profibrotic programs</t>
  </si>
  <si>
    <t>Favorable chronic profibrotic profile</t>
  </si>
  <si>
    <t>DNA-PK/p53/p21 G1/S arrest; fibrosis; fibroblast/macrophage states</t>
  </si>
  <si>
    <t>AsiDNA directly triggered DNA-PK/p53/p21-dependent G1/S arrest in normal cells; similarity to FLASH lung protection is inferential.</t>
  </si>
  <si>
    <t>DNA-PK; p53; p21; profibrotic gene signatures</t>
  </si>
  <si>
    <t>Cell-cycle/survival; PCLS; micro-CT; histology; 10x scRNA-seq</t>
  </si>
  <si>
    <t>Acute cell assays; 4–5+ months lung</t>
  </si>
  <si>
    <t>Yes – source late scRNA-seq dataset later reanalyzed by S58</t>
  </si>
  <si>
    <t>Yes – original/source cohort for GSE240510 and independent AsiDNA perturbation outcomes</t>
  </si>
  <si>
    <t>S40 is the original/source report for late 5-month GSE240510 and the AsiDNA perturbation study. S58 reanalyzes GSE240510. S2 is a separate early dataset (GSE298566).</t>
  </si>
  <si>
    <t>Positive / favors FLASH; deduplication required</t>
  </si>
  <si>
    <t>FLASH scRNA-seq n=1/condition; primary question is AsiDNA; comparator 0.4 Gy/s.</t>
  </si>
  <si>
    <t>Yes, outcome-level deduplication required</t>
  </si>
  <si>
    <t>FLASH and AsiDNA+CONV reduced late profibrotic lung remodeling relative to CONV, while AsiDNA radioprotection operated through DNA-PK/p53/p21 G1/S arrest.</t>
  </si>
  <si>
    <t>Immune/inflammatory; DNA damage/sensing; Fibrosis/TGF-β/remodeling</t>
  </si>
  <si>
    <t>#244</t>
  </si>
  <si>
    <t>Zieliński 2024</t>
  </si>
  <si>
    <t>Comparison of conventional versus ultra-high dose rate radiotherapy in MCF-7 and MCF-12A human breast cells: analysis of DNA damage response proteins</t>
  </si>
  <si>
    <t>Current Topics in Peptide and Protein Research</t>
  </si>
  <si>
    <t>Zieliński, M.; Lenartowicz-Gasik, A.; Misiarz, A.; Rzadkiewicz, J.; Kocik, J.</t>
  </si>
  <si>
    <t>Direct UHDR-vs-CONV mechanistic cell study; average dose rate 10 Gy/s (PICOS-eligible boundary UHDR)</t>
  </si>
  <si>
    <t>Article abstract/full-text metadata; DOI record</t>
  </si>
  <si>
    <t>Marcin Zieliński</t>
  </si>
  <si>
    <t>National Centre for Nuclear Research, Poland</t>
  </si>
  <si>
    <t>In vitro, chemically induced hypoxia</t>
  </si>
  <si>
    <t>MCF-7 breast cancer and MCF-12A non-tumorigenic mammary epithelial cells</t>
  </si>
  <si>
    <t>Not clearly reported as independent biological replicate n – not established from available sources / do not infer</t>
  </si>
  <si>
    <t>N/A – cell culture</t>
  </si>
  <si>
    <t>2.35 ± 0.11 Gy delivered dose</t>
  </si>
  <si>
    <t>10 Gy/s (author-described UHDR; below ≥40 Gy/s canonical FLASH threshold)</t>
  </si>
  <si>
    <t>Approximately 2.35 Gy delivered as a single irradiation pulse; exact machine pulse dosimetry not otherwise characterized</t>
  </si>
  <si>
    <t>Not applicable / single-pulse UHDR exposure</t>
  </si>
  <si>
    <t>Single pulse; duration not explicitly reported</t>
  </si>
  <si>
    <t>SSD 60 cm; circular 10-cm field; T-25 cell culture flasks; Gafchromic EBT-XD film beneath cells for UHDR dosimetry</t>
  </si>
  <si>
    <t>Conventional dose-rate electron irradiation</t>
  </si>
  <si>
    <t>2.45 ± 0.02 Gy</t>
  </si>
  <si>
    <t>5 Gy/min = 0.0833 Gy/s</t>
  </si>
  <si>
    <t>Approximately dose matched, but not identical: 2.35 ± 0.11 vs 2.45 ± 0.02 Gy</t>
  </si>
  <si>
    <t>UHDR delivered as a single pulse at 10 Gy/s; CONV delivered at 5 Gy/min. UHDR dose rate is below the usual ≥40-Gy/s FLASH threshold.</t>
  </si>
  <si>
    <t>DNA-damage-response, NHEJ, cell-cycle and apoptosis protein expression in MCF-7 cells; no clonogenic or tumor-control endpoint</t>
  </si>
  <si>
    <t>Not directly evaluable for tumor control</t>
  </si>
  <si>
    <t>Not formally demonstrated; qualitative Western blot differences only</t>
  </si>
  <si>
    <t>MCF-7 showed stronger/broader DNA-damage-response protein activation under 10-Gy/s UHDR than under CONV, including γH2AX, Ligase IV, Ku70/Ku80 and DNA-PKcs.</t>
  </si>
  <si>
    <t>15 min, 30 min, 1 h, 3 h, 6 h, 24 h, 48 h, 72 h; text also mentions 12 h inconsistently</t>
  </si>
  <si>
    <t>Mechanistic pilot only; cannot infer antitumor equivalence.</t>
  </si>
  <si>
    <t>DNA-damage-response, NHEJ, cell-cycle and apoptosis proteins in MCF-12A cells</t>
  </si>
  <si>
    <t>DNA DSB response; NHEJ; DNA-PKcs; γH2AX; cell-cycle arrest; apoptosis</t>
  </si>
  <si>
    <t>Under UHDR, MCF-12A showed weaker DNA-damage signaling than MCF-7: no detectable γH2AX or DNA-PKcs activation, while Ligase IV, Ku70 and Ku80 were detectable. Neither cell line showed cleaved-PARP evidence of apoptosis.</t>
  </si>
  <si>
    <t>Suggestive but not demonstrated</t>
  </si>
  <si>
    <t>Exploratory qualitative protein-expression evidence; no causal validation</t>
  </si>
  <si>
    <t>γH2AX pS139; Ligase IV; Ku70; Ku80; DNA-PKcs pS2056; Histone H3 pSer10; Cdk2 pTyr15; cleaved PARP</t>
  </si>
  <si>
    <t>Western blot; Gafchromic EBT-XD film dosimetry</t>
  </si>
  <si>
    <t>15 min–72 h</t>
  </si>
  <si>
    <t>No confirmed cohort duplication</t>
  </si>
  <si>
    <t>Possible companion MCF-7/MCF-12A laboratory report – no confirmed duplicate dataset</t>
  </si>
  <si>
    <t>Yes – retain as eligible UHDR mechanistic study</t>
  </si>
  <si>
    <t>No confirmed duplicate dataset within the 61-report set. Treat separately unless exact sample reuse is documented.</t>
  </si>
  <si>
    <t>Mechanistic difference between UHDR and CONV; FLASH sparing not directly demonstrated</t>
  </si>
  <si>
    <t>UHDR rate only 10 Gy/s; authors themselves acknowledge this is below the 40-Gy/s FLASH range; ~2.4-Gy single dose; 2D cells; chemically induced hypoxia; primarily qualitative Western blots; replicate n and quantitative statistics not clearly reported; no clonogenic survival or in-vivo endpoint.</t>
  </si>
  <si>
    <t>Yes – eligible UHDR breast-cell mechanistic evidence under prespecified PICOS (average dose rate ≥10 Gy/s); not a tumor-control or proven normal-tissue-sparing study</t>
  </si>
  <si>
    <t>Low-moderate</t>
  </si>
  <si>
    <t>Legitimate published exploratory study meeting the prespecified average-dose-rate UHDR criterion (10 Gy/s), but limited by qualitative Western blots, low dose, 2D culture and no functional survival/tumor-control endpoint.</t>
  </si>
  <si>
    <t>MCF-7 and MCF-12A cells showed preliminary dose-rate-dependent differences in DNA-damage-response proteins at 10 versus 0.0833 Gy/s, but this does not establish a canonical FLASH effect.</t>
  </si>
  <si>
    <t>The study compared MCF-7 and MCF-12A at 10 versus 0.0833 Gy/s and reported cell-type- and dose-rate-dependent differences in ATM/DNA-PKcs-associated responses.</t>
  </si>
  <si>
    <t>No clear quantitative inferential analysis of Western-blot expression reported; primarily qualitative band presence/intensity.</t>
  </si>
  <si>
    <t>#251</t>
  </si>
  <si>
    <t>Dubail 2023</t>
  </si>
  <si>
    <t>Lung Organotypic Slices Enable Rapid Quantification of Acute Radiotherapy Induced Toxicity</t>
  </si>
  <si>
    <t>2023</t>
  </si>
  <si>
    <t>Cells</t>
  </si>
  <si>
    <t>Dubail, M.; Heinrich, S.; Portier, L.; Bastian, J.; Giuliano, L.; Aggar, L.; Berthault, N.; Londoño-Vallejo, J.-A.; Vilalta, M.; Boivin, G.; Sharma, R.A.; Dutreix, M.; Fouillade, C.</t>
  </si>
  <si>
    <t>Direct FLASH-vs-CONV biological study (ex vivo + in vivo)</t>
  </si>
  <si>
    <t>Primary Cells/PMC full text</t>
  </si>
  <si>
    <t>Institut Curie / Paris-Saclay and collaborators, France</t>
  </si>
  <si>
    <t>Ex vivo mouse lung slices + in vivo validation</t>
  </si>
  <si>
    <t>Female; 6–10 weeks for lung-slice preparation</t>
  </si>
  <si>
    <t>None – healthy lung</t>
  </si>
  <si>
    <t>Ex vivo: n=5 slices/condition with validation across 3 independent mice; in-vivo n/group not established from available sources</t>
  </si>
  <si>
    <t>Ex vivo lung slices; whole thorax in vivo</t>
  </si>
  <si>
    <t>Ex vivo 3, 6, 9 Gy; in vivo 9 or 13 Gy</t>
  </si>
  <si>
    <t>&gt;100 Gy/s</t>
  </si>
  <si>
    <t>~3 ±0.2 Gy/pulse</t>
  </si>
  <si>
    <t>1–3 pulses ex vivo; in-vivo delivery not established from available sources</t>
  </si>
  <si>
    <t>ElectronFLASH linac; whole-thorax validation in vivo</t>
  </si>
  <si>
    <t>Dose matched by experiment</t>
  </si>
  <si>
    <t>~0.5 Gy/s ex vivo; ~0.1 Gy/s in vivo</t>
  </si>
  <si>
    <t>Dose rate and pulse structure</t>
  </si>
  <si>
    <t>Lung-slice proliferation/viability; in-vivo proliferation; late fibrosis</t>
  </si>
  <si>
    <t>EdU+ cell proliferation; viability; histologic/fibrotic injury</t>
  </si>
  <si>
    <t>24 h acute; late fibrosis ~20 weeks after 13 Gy</t>
  </si>
  <si>
    <t>Yes at 6/9 Gy ex vivo and late validation endpoints; exact all P values in primary text</t>
  </si>
  <si>
    <t>FLASH preserved lung-slice cell division at 6 and 9 Gy and reduced late thoracic fibrosis relative to CONV.</t>
  </si>
  <si>
    <t>Acute proliferative capacity; tissue injury screening</t>
  </si>
  <si>
    <t>Preservation of proliferative cells in organotypic lung slices predicted the in-vivo normal-tissue FLASH-sparing phenotype.</t>
  </si>
  <si>
    <t>Phenotypically demonstrated; mechanistic pathway not causal</t>
  </si>
  <si>
    <t>EdU proliferation marker</t>
  </si>
  <si>
    <t>Precision-cut/organotypic lung slices; EdU imaging; viability assays; histology/fibrosis validation</t>
  </si>
  <si>
    <t>24 h acute; ~20 weeks late</t>
  </si>
  <si>
    <t>Related Institut Curie lung program; no confirmed animal reuse</t>
  </si>
  <si>
    <t>S27; S37; S40 (related program only)</t>
  </si>
  <si>
    <t>Yes provisionally</t>
  </si>
  <si>
    <t>Mouse organotypic/in-vivo cohorts are distinct from 2025 patient-derived Hu-PCLS; no confirmed same-animal reuse with linked Curie reports.</t>
  </si>
  <si>
    <t>Ex-vivo screening model simplifies whole-organ physiology; comparator stratum differs between ex-vivo and in-vivo components.</t>
  </si>
  <si>
    <t>Direct matched comparisons with ex-vivo quantitative assay plus in-vivo acute/late validation.</t>
  </si>
  <si>
    <t>FLASH preserved proliferative capacity in mouse lung organotypic slices and reproduced a normal-lung sparing phenotype in vivo.</t>
  </si>
  <si>
    <t>At 6 and 9 Gy, FLASH preserved significantly more EdU+ proliferating lung-slice cells than CONV, with late 13-Gy in-vivo fibrosis validation.</t>
  </si>
  <si>
    <t>Endpoint-specific group comparisons; exact tests in primary Methods</t>
  </si>
  <si>
    <t>#264</t>
  </si>
  <si>
    <t>Lattery 2023</t>
  </si>
  <si>
    <t>Pencil Beam Scanning Bragg Peak FLASH Technique for Ultra-High Dose Rate Intensity-Modulated Proton Therapy in Early-Stage Breast Cancer Treatment</t>
  </si>
  <si>
    <t>Lattery, G.; Kaulfers, T.; Cheng, C.; Zhao, X.; Selvaraj, B.; Lin, H.; Simone, C.B.; Choi, J.I.; Chang, J.; Kang, M.</t>
  </si>
  <si>
    <t>Grant Lattery</t>
  </si>
  <si>
    <t>Hofstra University / New York Proton Center / Rutgers, USA</t>
  </si>
  <si>
    <t>Retrospective treatment planning</t>
  </si>
  <si>
    <t>Human breast cancer treatment plans</t>
  </si>
  <si>
    <t>10 consecutively treated early-stage breast cancer cases; demographics not established from available sources</t>
  </si>
  <si>
    <t>Early-stage breast cancer planning cases</t>
  </si>
  <si>
    <t>10 patients/plans</t>
  </si>
  <si>
    <t>Breast target with thoracic OARs</t>
  </si>
  <si>
    <t>Yes – planning endpoint only</t>
  </si>
  <si>
    <t>40 Gy total as 8 Gy ×5</t>
  </si>
  <si>
    <t>FLASH criterion ≥40 Gy(RBE)/s; voxel/average-rate planning</t>
  </si>
  <si>
    <t>Not applicable — simulation only</t>
  </si>
  <si>
    <t>Yes – conventional IMPT planning comparator</t>
  </si>
  <si>
    <t>Conventional proton IMPT plans</t>
  </si>
  <si>
    <t>40 Gy in 5 fractions</t>
  </si>
  <si>
    <t>Conventional clinical proton delivery; no biological comparator rate used for outcome synthesis</t>
  </si>
  <si>
    <t>CTV/PTV dosimetry only</t>
  </si>
  <si>
    <t>Heart, ipsilateral lung, breast and skin DVH/dose-rate metrics</t>
  </si>
  <si>
    <t>Ipsilateral lung planning dosimetry</t>
  </si>
  <si>
    <t>Heart planning dosimetry</t>
  </si>
  <si>
    <t>Skin Dmax and FLASH dose-rate coverage</t>
  </si>
  <si>
    <t>Not directly evaluable biologically; planning feasibility</t>
  </si>
  <si>
    <t>Proton treatment planning / DVH / dose-rate analysis</t>
  </si>
  <si>
    <t>Positive planning feasibility with tradeoffs</t>
  </si>
  <si>
    <t>In-silico dosimetry only; FLASH biological effect assumed from dose-rate criteria; skin Dmax and target Dmax were somewhat higher in FLASH plans.</t>
  </si>
  <si>
    <t>Clinically based ten-patient planning comparison with detailed dose/dose-rate metrics; no biological validation.</t>
  </si>
  <si>
    <t>Bragg-peak PBS FLASH breast plans were dosimetrically feasible with high UHDR coverage while maintaining most target/OAR metrics comparable to conventional IMPT.</t>
  </si>
  <si>
    <t>No significant differences were found for most heart, ipsilateral-lung and target metrics; conventional plans had lower target and skin Dmax, while FLASH plans achieved substantial UHDR coverage.</t>
  </si>
  <si>
    <t>#278</t>
  </si>
  <si>
    <t>vanMarlen 2023</t>
  </si>
  <si>
    <t>Single Ultra-High Dose Rate Proton Transmission Beam for Whole Breast FLASH-Irradiation: Quantification of FLASH-Dose and Relation with Beam Parameters</t>
  </si>
  <si>
    <t>van Marlen, P.; van de Water, S.; Dahele, M.; Slotman, B.J.; Verbakel, W.F.A.R.</t>
  </si>
  <si>
    <t>Patricia van Marlen</t>
  </si>
  <si>
    <t>Amsterdam UMC, Netherlands</t>
  </si>
  <si>
    <t>Treatment-planning/dose-rate simulation</t>
  </si>
  <si>
    <t>Human breast CT/planning datasets</t>
  </si>
  <si>
    <t>Whole-breast irradiation planning</t>
  </si>
  <si>
    <t>1 test case plus 3 additional clinical cases (provenance/overlap not established from available sources)</t>
  </si>
  <si>
    <t>Whole breast using tangential proton transmission beam</t>
  </si>
  <si>
    <t>Yes – planning/dose-rate endpoint only</t>
  </si>
  <si>
    <t>5×5.7 Gy; hypothetical 2×9.74 Gy and 1×14.32 Gy schedules</t>
  </si>
  <si>
    <t>Evaluated at ≥40 and ≥100 Gy/s thresholds</t>
  </si>
  <si>
    <t>PBS/spot scanning – not electron-style</t>
  </si>
  <si>
    <t>1, 2, or 5 scenarios</t>
  </si>
  <si>
    <t>Single tangential transmission beam; scenarios varied spot/beam splitting/current</t>
  </si>
  <si>
    <t>No biological CONV comparator; parameter/planning scenarios</t>
  </si>
  <si>
    <t>Planning scenarios and machine-parameter sensitivity analyses</t>
  </si>
  <si>
    <t>PTV dose/dose-rate coverage only</t>
  </si>
  <si>
    <t>Whole-breast/normal-tissue FLASH-dose coverage and beam-parameter dependence</t>
  </si>
  <si>
    <t>Planning/OAR exposure only; no biological endpoint</t>
  </si>
  <si>
    <t>Planning/OAR exposure only</t>
  </si>
  <si>
    <t>Planning dose/dose-rate exposure; no toxicity endpoint</t>
  </si>
  <si>
    <t>None – physics/planning</t>
  </si>
  <si>
    <t>Clinical CT treatment planning; proton spot/beam-parameter simulation</t>
  </si>
  <si>
    <t>No biological validation; single-beam transmission geometry; predicted FLASH dose is highly machine-parameter and threshold dependent.</t>
  </si>
  <si>
    <t>Yes — breast-related planning evidence</t>
  </si>
  <si>
    <t>Single-beam proton transmission WBI could achieve substantial modeled FLASH-dose coverage, strongly dependent on field size, beam splitting, spot time and current.</t>
  </si>
  <si>
    <t>With current machine settings and beam splitting, modeled FLASH-dose coverage was approximately 50–95% at a 40-Gy/s threshold depending on PTV size.</t>
  </si>
  <si>
    <t>#286</t>
  </si>
  <si>
    <t>Dai 2023</t>
  </si>
  <si>
    <t>Fractionated FLASH radiation in xenografted lung tumors induced FLASH effect at a split dose of 2 Gy</t>
  </si>
  <si>
    <t>International journal of radiation biology</t>
  </si>
  <si>
    <t>Dai, Y.; Liang, R.; Wang, J.; Zhang, J.; Wu, D.; Zhao, R.; Liu, Z.; Chen, F.</t>
  </si>
  <si>
    <t>Primary Taylor &amp; Francis/PubMed article</t>
  </si>
  <si>
    <t>Yuling Dai</t>
  </si>
  <si>
    <t>China Institute for Radiation Protection / China Academy of Engineering Physics, China</t>
  </si>
  <si>
    <t>BALB/c-nu nude mice</t>
  </si>
  <si>
    <t>A549 xenografted lung tumor</t>
  </si>
  <si>
    <t>Lung or xenografted tumor depending on arm</t>
  </si>
  <si>
    <t>20 Gy total</t>
  </si>
  <si>
    <t>200 Gy/s</t>
  </si>
  <si>
    <t>FLASH1: 20 Gy single pulse; FLASH10: 2 Gy ×10 pulses</t>
  </si>
  <si>
    <t>Split pulses separated by approximately 1 min; exact machine timing not established from available sources</t>
  </si>
  <si>
    <t>1 session; single-pulse or 10-pulse split delivery</t>
  </si>
  <si>
    <t>Conventional radiotherapy</t>
  </si>
  <si>
    <t>20 Gy</t>
  </si>
  <si>
    <t>0.033 Gy/s</t>
  </si>
  <si>
    <t>Tumor volume and pathology in A549 xenografts</t>
  </si>
  <si>
    <t>Comparable / neutral (non-breast contextual tumor)</t>
  </si>
  <si>
    <t>No clear FLASH-vs-CONV loss of efficacy reported</t>
  </si>
  <si>
    <t>CONV, FLASH1 and FLASH10 produced similar tumor damage/growth suppression relative to control.</t>
  </si>
  <si>
    <t>Yes in tested A549 model</t>
  </si>
  <si>
    <t>Fractionated/pulsed FLASH preserved antitumor effect while sparing normal lung.</t>
  </si>
  <si>
    <t>Acute lung injury/radiation pneumonia</t>
  </si>
  <si>
    <t>Histopathology, inflammatory-cell infiltration, alveolar septal thickening, hemorrhage</t>
  </si>
  <si>
    <t>Acute, ~72 h reported; exact all timepoints not established from available sources</t>
  </si>
  <si>
    <t>Histopathologic sparing reported; exact statistics not established from available sources</t>
  </si>
  <si>
    <t>FLASH1 and FLASH10 lungs showed only a few neutrophils and milder acute pneumonia versus CONV with septal thickening and interstitial hemorrhage.</t>
  </si>
  <si>
    <t>Dose splitting / oxygen-depletion hypothesis</t>
  </si>
  <si>
    <t>A FLASH effect persisted when 20 Gy was divided into ten 2-Gy pulses, arguing that transient oxygen depletion is unlikely to be the sole mechanism.</t>
  </si>
  <si>
    <t>Mechanistic inference from dose-splitting experiment</t>
  </si>
  <si>
    <t>Tumor volumetry; histopathology</t>
  </si>
  <si>
    <t>Positive / favors FLASH for lung; tumor efficacy maintained</t>
  </si>
  <si>
    <t>Immunodeficient mice; non-breast tumor; acute lung endpoint; exact group sizes and statistical details need full extraction.</t>
  </si>
  <si>
    <t>Yes – lung</t>
  </si>
  <si>
    <t>A 20-Gy X-ray FLASH exposure spared acute normal-lung injury while retaining A549 xenograft efficacy even when divided into ten 2-Gy pulses.</t>
  </si>
  <si>
    <t>Normal lungs showed milder acute injury after both single-pulse and 10×2-Gy FLASH, while tumor responses were similar to CONV.</t>
  </si>
  <si>
    <t>#295</t>
  </si>
  <si>
    <t>Zhu 2023</t>
  </si>
  <si>
    <t>Comparison of intratumor and local immune response between MV X-ray FLASH and conventional radiotherapies</t>
  </si>
  <si>
    <t>Zhu, H.; Xie, D.; Wang, Y.; Huang, R.; Chen, X.; Yang, Y.; Wang, B.; Peng, Y.; Wang, J.; Xiao, D.; Wu, D.; Qian, C.-N.; Deng, X.</t>
  </si>
  <si>
    <t>Primary CTRO/PMC full text</t>
  </si>
  <si>
    <t>Hongyu Zhu</t>
  </si>
  <si>
    <t>Sun Yat-sen University Cancer Center / CAEP, China</t>
  </si>
  <si>
    <t>Female, 6 weeks</t>
  </si>
  <si>
    <t>Py8119 and Py230 syngeneic breast tumors in fourth inguinal mammary gland</t>
  </si>
  <si>
    <t>Tumor-growth cohorts n=8/group; immune analyses generally n≥6</t>
  </si>
  <si>
    <t>Abdominal/inguinal mammary tumor field</t>
  </si>
  <si>
    <t>No – inguinal/abdominal field</t>
  </si>
  <si>
    <t>125 Gy/s mean; instantaneous ~4.6×10^5 Gy/s</t>
  </si>
  <si>
    <t>~80 ms macropulse</t>
  </si>
  <si>
    <t>Conventional-dose-rate 6-MV X-ray RT</t>
  </si>
  <si>
    <t>Approximately matched</t>
  </si>
  <si>
    <t>Tumor growth; intratumoral immune infiltration</t>
  </si>
  <si>
    <t>No significant dose-rate difference in tumor control</t>
  </si>
  <si>
    <t>Both modalities significantly delayed Py8119 and Py230 growth with similar overall antitumor efficacy.</t>
  </si>
  <si>
    <t>Py8119 ~2 weeks; Py230 ~4 weeks</t>
  </si>
  <si>
    <t>FLASH achieved similar tumor control and broadly similar intratumoral immune response to CONV.</t>
  </si>
  <si>
    <t>Spleen and intestine injury outside strict thoracic-organ scope</t>
  </si>
  <si>
    <t>Not eligible – field was abdominal/inguinal</t>
  </si>
  <si>
    <t>Systemic splenic and tumor immune response; not thoracic-field specific</t>
  </si>
  <si>
    <t>Distinct systemic immune modulation; not counted as strict thoracic immune endpoint</t>
  </si>
  <si>
    <t>CD8/CD4 T-cell infiltration; macrophage/neutrophil response; systemic immune effects</t>
  </si>
  <si>
    <t>Intratumoral CD8 responses were largely similar, whereas splenic T-cell composition differed between FLASH and CONV; FLASH also reduced off-scope spleen/intestine injury.</t>
  </si>
  <si>
    <t>Context-dependent; normal-tissue findings outside strict organ scope</t>
  </si>
  <si>
    <t>Direct immune phenotyping</t>
  </si>
  <si>
    <t>CD3; CD4; CD8; macrophage/neutrophil markers</t>
  </si>
  <si>
    <t>Flow cytometry; IHC; histology; tumor measurement</t>
  </si>
  <si>
    <t>Comparable tumor control with distinct systemic immune response</t>
  </si>
  <si>
    <t>Normal-tissue sparing endpoints were spleen/intestine rather than breast-relevant thoracic organs; local skin is inguinal/abdominal.</t>
  </si>
  <si>
    <t>Yes – breast tumor/immune; exclude off-scope normal tissues from organ denominators</t>
  </si>
  <si>
    <t>MV X-ray FLASH preserved breast-tumor control and produced broadly similar intratumoral CD8 responses to CONV while altering systemic splenic immunity.</t>
  </si>
  <si>
    <t>Both Py8119 and Py230 tumors were significantly growth-delayed with no overall loss of efficacy under FLASH; intratumoral CD8 increases were broadly similar.</t>
  </si>
  <si>
    <t>#312</t>
  </si>
  <si>
    <t>Sørensen 2022</t>
  </si>
  <si>
    <t>Pencil beam scanning proton FLASH maintains tumor control while normal tissue damage is reduced in a mouse model</t>
  </si>
  <si>
    <t>2022</t>
  </si>
  <si>
    <t>Sørensen, B.S.; Sitarz, M.K.; Ankjærgaard, C.; Johansen, J.G.; Andersen, C.E.; Kanouta, E.; Grau, C.; Poulsen, P.</t>
  </si>
  <si>
    <t>Primary Radiotherapy &amp; Oncology article/PubMed</t>
  </si>
  <si>
    <t>Brita Singers Sørensen</t>
  </si>
  <si>
    <t>Danish Centre for Particle Therapy, Aarhus University Hospital, Denmark</t>
  </si>
  <si>
    <t>CDF1 mice</t>
  </si>
  <si>
    <t>C3H mouse mammary carcinoma implanted subcutaneously in the foot</t>
  </si>
  <si>
    <t>162 mice total; 8–14 mice per dose point</t>
  </si>
  <si>
    <t>Tumor-bearing hind limb/foot</t>
  </si>
  <si>
    <t>No – foot/hindlimb skin</t>
  </si>
  <si>
    <t>40–60 Gy ×1</t>
  </si>
  <si>
    <t>71–89 Gy/s</t>
  </si>
  <si>
    <t>Tumor-bearing hind limb; FLASH 250 MeV, CONV 244 MeV</t>
  </si>
  <si>
    <t>Conventional-dose-rate PBS proton irradiation</t>
  </si>
  <si>
    <t>0.33–0.63 Gy/s</t>
  </si>
  <si>
    <t>Dose-response matched</t>
  </si>
  <si>
    <t>Slight proton-energy difference (250 vs 244 MeV) plus dose rate</t>
  </si>
  <si>
    <t>90-day local tumor control</t>
  </si>
  <si>
    <t>No meaningful TCD50 difference</t>
  </si>
  <si>
    <t>TCD50 values overlapped: 49.1 Gy CONV versus 51.3 Gy FLASH.</t>
  </si>
  <si>
    <t>No recurrence at 90 days</t>
  </si>
  <si>
    <t>PBS proton FLASH maintained tumor control.</t>
  </si>
  <si>
    <t>Foot moist desquamation and fibrosis – outside thoracic-skin scope</t>
  </si>
  <si>
    <t>Not eligible – normal-tissue endpoints were foot/hindlimb skin/fibrosis</t>
  </si>
  <si>
    <t>Comparable tumor control; off-scope normal-tissue sparing</t>
  </si>
  <si>
    <t>Mammary carcinoma implanted ectopically in foot; normal tissue is hindlimb/foot and excluded from thoracic skin analysis; very high single doses.</t>
  </si>
  <si>
    <t>Yes – mammary tumor control</t>
  </si>
  <si>
    <t>High for dose-response tumor/normal-tissue model</t>
  </si>
  <si>
    <t>Large dose-response study with 162 mice, tumor-control and normal-tissue endpoints in same animals.</t>
  </si>
  <si>
    <t>PBS proton FLASH maintained C3H mammary-tumor control while sparing foot/hindlimb normal tissue, although the latter is outside the thoracic-skin scope of this review.</t>
  </si>
  <si>
    <t>TCD50 was 49.1 Gy with CONV and 51.3 Gy with FLASH, supporting comparable mammary-tumor control.</t>
  </si>
  <si>
    <t>Dose-response modeling for TCD50/MDD50/FD50 with 95% CIs</t>
  </si>
  <si>
    <t>#324</t>
  </si>
  <si>
    <t>Guo 2022</t>
  </si>
  <si>
    <t>Mitochondrial Damage Response and Fate of Normal Cells Exposed to FLASH Irradiation with Protons</t>
  </si>
  <si>
    <t>Guo, Z.; Buonanno, M.; Harken, A.; Zhou, G.; Hei, T.K.</t>
  </si>
  <si>
    <t>Primary Radiation Research/PMC full text</t>
  </si>
  <si>
    <t>Columbia University / Soochow University / Peking University, USA/China</t>
  </si>
  <si>
    <t>IMR90 normal human lung fibroblasts; A549 lung cancer contextual comparison</t>
  </si>
  <si>
    <t>3 independent experiments; 3 replicates/sample for key assays</t>
  </si>
  <si>
    <t>Primarily 15 Gy; 1.5 Gy included in protein experiments</t>
  </si>
  <si>
    <t>Milliseconds/cell basis at high rate; exact scan timing in Methods</t>
  </si>
  <si>
    <t>4.5-MeV protons, LET ~10 keV/µm; cells scanned across continuous beam exit window</t>
  </si>
  <si>
    <t>Conventional/low-dose-rate proton irradiation</t>
  </si>
  <si>
    <t>1.5 or 15 Gy matched by experiment</t>
  </si>
  <si>
    <t>Methods: 0.33 Gy/s; several figure captions state 0.03 Gy/s</t>
  </si>
  <si>
    <t>&gt;0.2 Gy/s based on Methods; source discrepancy</t>
  </si>
  <si>
    <t>Yes for main 15-Gy comparisons</t>
  </si>
  <si>
    <t>Dose rate; article contains an internal 0.33 vs 0.03 Gy/s reporting discrepancy.</t>
  </si>
  <si>
    <t>A549 cell viability only as non-breast context</t>
  </si>
  <si>
    <t>Not part of breast-tumor denominator</t>
  </si>
  <si>
    <t>Normal lung fibroblast viability, ROS, mitochondrial morphology/function, death mode</t>
  </si>
  <si>
    <t>Cell viability/proliferation; ROS; mitochondrial membrane potential/ATP; apoptosis/necrosis</t>
  </si>
  <si>
    <t>40 min/1 h/2–24 h and days 1–7 depending on assay</t>
  </si>
  <si>
    <t>FLASH preserved IMR90 viability and mitochondrial function, did not trigger the early ROS burst seen with CONV, and shifted cell death away from necrotic injury.</t>
  </si>
  <si>
    <t>ROS/redox; mitochondrial fission; Drp1; p53; ATP; apoptosis/necrosis</t>
  </si>
  <si>
    <t>FLASH maintained p-Drp1 and mitochondrial integrity; inhibiting Drp1 with Mdivi-1 abolished the FLASH proliferation advantage, functionally implicating Drp1 in protection.</t>
  </si>
  <si>
    <t>Functionally supported by Drp1 inhibition</t>
  </si>
  <si>
    <t>p-Drp1 Ser637; Drp1; p53; PTEN; cytochrome c; COX-IV; LC3A/B; ATP; ROS; caspase-3; Bax</t>
  </si>
  <si>
    <t>Cell growth/CCK8; ROS fluorescence; mitochondrial imaging/MMP; ATP assay; Western blot; Annexin V/EtD-III; Mdivi-1 perturbation</t>
  </si>
  <si>
    <t>40 min to 7 days</t>
  </si>
  <si>
    <t>No known overlap with other included lung cohorts</t>
  </si>
  <si>
    <t>In vitro; high 15-Gy dose; CONV-rate inconsistency within article; IMR90 fibroblasts do not reproduce whole-lung multicellular biology.</t>
  </si>
  <si>
    <t>Direct matched proton comparison with multiple orthogonal mitochondrial endpoints and functional Drp1 perturbation.</t>
  </si>
  <si>
    <t>Proton FLASH protected normal lung fibroblasts by limiting ROS and preserving Drp1-dependent mitochondrial integrity compared with conventional-rate irradiation.</t>
  </si>
  <si>
    <t>At 15 Gy, FLASH increased day-7 viability, avoided the &gt;2-fold early ROS rise seen with CONV, and the protection was abolished by Drp1 inhibition.</t>
  </si>
  <si>
    <t>Three independent experiments; endpoint-specific comparisons with reported P thresholds</t>
  </si>
  <si>
    <t>ROS/redox/oxygen; Cell death/senescence/cycle; Mitochondrial/metabolism</t>
  </si>
  <si>
    <t>#333</t>
  </si>
  <si>
    <t>Tashiro 2022</t>
  </si>
  <si>
    <t>First Human Cell Experiments with FLASH Carbon Ions</t>
  </si>
  <si>
    <t>Tashiro, M.; Yoshida, Y.; Oike, T.; Nakao, M.; Yusa, K.; Hirota, Y.; Ohno, T.</t>
  </si>
  <si>
    <t>Direct FLASH-vs-normal-dose-rate carbon-ion biological study</t>
  </si>
  <si>
    <t>Primary Anticancer Research/PubMed; beam conditions corroborated by later replication paper</t>
  </si>
  <si>
    <t>Mutsumi Tashiro</t>
  </si>
  <si>
    <t>Gunma University Heavy Ion Medical Center, Japan</t>
  </si>
  <si>
    <t>N/A – human cells</t>
  </si>
  <si>
    <t>HFL1 human lung fibroblasts; HSGc-C5 cancer cells</t>
  </si>
  <si>
    <t>1–3 Gy</t>
  </si>
  <si>
    <t>96–195 Gy/s</t>
  </si>
  <si>
    <t>290 MeV/u carbon ions; single-spot; LET 13 or 50 keV/µm</t>
  </si>
  <si>
    <t>Normal-dose-rate carbon-ion irradiation</t>
  </si>
  <si>
    <t>7.7–12 Gy/s (corroborated in later comparison table)</t>
  </si>
  <si>
    <t>HSGc-C5 clonogenic survival; non-breast context</t>
  </si>
  <si>
    <t>Comparable / neutral in tested cancer cells; not breast denominator</t>
  </si>
  <si>
    <t>No FLASH effect</t>
  </si>
  <si>
    <t>HFL1 growth suppression and senescence</t>
  </si>
  <si>
    <t>Fibroblast growth; senescence-associated β-galactosidase</t>
  </si>
  <si>
    <t>Comparable / neutral – no FLASH sparing</t>
  </si>
  <si>
    <t>No UHDR sparing was observed for HFL1 growth suppression or senescence at either tested LET.</t>
  </si>
  <si>
    <t>LET dependence; senescence phenotype</t>
  </si>
  <si>
    <t>Under aerobic conditions and low doses (1–3 Gy), carbon-ion FLASH at 96–195 Gy/s did not generate a normal-cell sparing effect.</t>
  </si>
  <si>
    <t>Boundary-condition observation</t>
  </si>
  <si>
    <t>SA-β-gal senescence readout</t>
  </si>
  <si>
    <t>Crystal violet growth assay; SA-β-gal; clonogenic assay</t>
  </si>
  <si>
    <t>Related carbon-ion program but distinct experiments</t>
  </si>
  <si>
    <t>S32; S10</t>
  </si>
  <si>
    <t>S32/S10 use different facilities/scan configurations or replication experiments; do not treat as same cohort.</t>
  </si>
  <si>
    <t>In-vitro low-dose study; comparator itself very high (7.7–12 Gy/s); single-spot delivery; no organ-level lung endpoint.</t>
  </si>
  <si>
    <t>Yes – negative/boundary lung cellular evidence</t>
  </si>
  <si>
    <t>Direct carbon-ion normal-cell comparison across two LETs, but low doses and unusually high comparator rate limit interpretation.</t>
  </si>
  <si>
    <t>Carbon-ion FLASH at 96–195 Gy/s did not spare HFL1 lung fibroblasts relative to 7.7–12-Gy/s irradiation under the tested aerobic 1–3-Gy conditions.</t>
  </si>
  <si>
    <t>No FLASH effect was observed for HFL1 growth/senescence or HSGc-C5 survival at 13 or 50 keV/µm.</t>
  </si>
  <si>
    <t>#345</t>
  </si>
  <si>
    <t>Romano 2021</t>
  </si>
  <si>
    <t>X-Ray Phase Contrast 3D Virtual Histology: Evaluation of Lung Alterations After Microbeam Irradiation</t>
  </si>
  <si>
    <t>Romano, M.; Bravin, A.; Wright, M.D.; Jacques, L.; Miettinen, A.; Hlushchuk, R.; Dinkel, J.; Bartzsch, S.; Laissue, J.A.; Djonov, V.; Coan, P.</t>
  </si>
  <si>
    <t>Secondary analysis of an existing in-vivo lung irradiation cohort; spatially fractionated UHDR MRT vs broad beam</t>
  </si>
  <si>
    <t>Primary full-text article; XPCI-CT/3D virtual histology of previously generated rat-lung specimens</t>
  </si>
  <si>
    <t>Mariele Romano</t>
  </si>
  <si>
    <t>LMU Munich, ESRF Grenoble, University of Bern, Swiss Light Source/PSI, Technical University of Munich and collaborators</t>
  </si>
  <si>
    <t>In vivo irradiation followed by ex-vivo XPCI-CT / virtual histology at 12 months</t>
  </si>
  <si>
    <t>Fischer rats</t>
  </si>
  <si>
    <t>Male; approximately 300 g at irradiation; exact age not reported</t>
  </si>
  <si>
    <t>None – healthy rat lung</t>
  </si>
  <si>
    <t>33 rats total, 11 groups; n=3/group</t>
  </si>
  <si>
    <t>1 × 1 cm² region within the right lung; anteroposterior beam direction</t>
  </si>
  <si>
    <t>MRT50: peak 50, 100, 300, 600 Gy with valley 1.2, 2.4, 7.3, 14.6 Gy; MRT500: peak 50, 100, 300, 600 Gy with valley 0.7, 1.3, 4.0, 7.9 Gy</t>
  </si>
  <si>
    <t>Maximum MRT dose rate 14,000 Gy/s (14 kGy/s)</t>
  </si>
  <si>
    <t>Not reported / not applicable in standard linac pulse format</t>
  </si>
  <si>
    <t>Not explicitly reported in article</t>
  </si>
  <si>
    <t>1 × 1 cm² right-lung field; MRT50 = 50-μm beamlets, 400-μm center-to-center spacing, 25 microbeams; MRT500 = 500-μm beamlets, 4000-μm spacing, 3 microbeams</t>
  </si>
  <si>
    <t>Yes, but not a clean dose-rate comparator</t>
  </si>
  <si>
    <t>Standard broad-beam X-ray RT: BB30 = 30 Gy; BB50 = 50 Gy</t>
  </si>
  <si>
    <t>30 or 50 Gy broad beam</t>
  </si>
  <si>
    <t>Not explicitly reported in this article — not established from available sources from parent Wright et al. study if needed</t>
  </si>
  <si>
    <t>No – MRT peak/valley dose structure is not directly equivalent to BB dose</t>
  </si>
  <si>
    <t>Both synchrotron X-rays, but radically different spatial geometries</t>
  </si>
  <si>
    <t>MRT was spatially fractionated with 50- or 500-μm beamlets and extreme peak/valley dose gradients; broad beam was spatially uniform. Therefore tissue differences cannot be attributed solely to dose rate.</t>
  </si>
  <si>
    <t>Late lung fibrosis, alveolar architecture, scars, collagen nodules, Fe/Ca deposits, vascular calcification</t>
  </si>
  <si>
    <t>XPCI-CT 3D virtual histology; segmented fibrotic volume; H&amp;E and Masson-Goldner trichrome validation</t>
  </si>
  <si>
    <t>12 months post-irradiation</t>
  </si>
  <si>
    <t>Favorable MRT tissue preservation, but not directly evaluable as pure FLASH dose-rate effect</t>
  </si>
  <si>
    <t>Not reported as a conventional inferential FLASH-vs-BB statistical comparison; quantitative fibrosis differences were large</t>
  </si>
  <si>
    <t>Fibrotic tissue was &lt;10% of analyzed volume in all MRT-treated groups, while BB50 reached approximately 34%</t>
  </si>
  <si>
    <t>No molecular mechanism; structural/spatial radiation injury</t>
  </si>
  <si>
    <t>MRT produced localized/planar or isolated scars whereas BB50 caused extensive clustered fibrosis; spatial geometry is a major determinant of tissue injury</t>
  </si>
  <si>
    <t>Suggestive, but confounded by spatial fractionation</t>
  </si>
  <si>
    <t>Phenotypic/imaging evidence; dose-rate mechanism not isolated</t>
  </si>
  <si>
    <t>Synchrotron XPCI-CT; 3D virtual histology; H&amp;E; Masson-Goldner trichrome; Fe staining; 3D fibrosis segmentation</t>
  </si>
  <si>
    <t>12 months</t>
  </si>
  <si>
    <t>Wright et al., 2021, Cureus 13:e19317</t>
  </si>
  <si>
    <t>No – secondary imaging/virtual-histology analysis of the same previously irradiated rat-lung cohort reported by Wright et al. 2021</t>
  </si>
  <si>
    <t>Romano et al. explicitly analyzed biological specimens generated in an earlier Wright et al. study. Retain Romano as a distinct publication/imaging analysis, but do not double-count the animals or underlying lung injury cohort.</t>
  </si>
  <si>
    <t>Favorable MRT lung preservation, but not directly evaluable as an independent FLASH-vs-CONV dose-rate effect</t>
  </si>
  <si>
    <t>Secondary analysis of an existing cohort; spatial-fractionation and dose-distribution differences strongly confound dose-rate attribution; only n=3/group</t>
  </si>
  <si>
    <t>Yes for qualitative/mechanistic lung narrative; no as an independent cohort in direction-of-effect counts</t>
  </si>
  <si>
    <t>Yes – imaging/technology and spatial-fractionation context</t>
  </si>
  <si>
    <t>Excellent 3D imaging/histologic validation and long follow-up, but reused specimens and profound spatial-dose confounding limit independent biological inference</t>
  </si>
  <si>
    <t>At 12 months, synchrotron MRT-treated rat lungs showed substantially less widespread fibrosis than broad-beam irradiation, although the comparison is strongly confounded by spatial fractionation and uses specimens from a previously published cohort.</t>
  </si>
  <si>
    <t>Fibrotic tissue occupied &lt;10% of analyzed lung volume after MRT versus approximately 34% after 50-Gy broad-beam irradiation.</t>
  </si>
  <si>
    <t>3D fibrosis segmentation/quantification; segmentation error estimated at ~5%; no principal FLASH-vs-BB inferential test reported</t>
  </si>
  <si>
    <t>#364</t>
  </si>
  <si>
    <t>Gao 2022</t>
  </si>
  <si>
    <t>First demonstration of the FLASH effect with ultrahigh dose rate high-energy X-rays</t>
  </si>
  <si>
    <t>Gao, F.; Yang, Y.; Zhu, H.; Wang, J.; Xiao, D.; Zhou, Z.; Dai, T.; Zhang, Y.; Feng, G.; Li, J.; Lin, B.; Xie, G.; Ke, Q.; Zhou, K.; Li, P.; Shen, X.; Wang, H.; Yan, L.; Lao, C.; Shan, L.; Li, M.; Lu, Y.; Chen, M.; Feng, S.; Zhao, J.; Wu, D.; Du, X.</t>
  </si>
  <si>
    <t>Direct FLASH-vs-CONV biological study with non-isodose / beam-energy confounding</t>
  </si>
  <si>
    <t>Primary Radiotherapy &amp; Oncology full text</t>
  </si>
  <si>
    <t>Feng Gao</t>
  </si>
  <si>
    <t>Mianyang Central Hospital / China Academy of Engineering Physics / Sun Yat-sen University Cancer Center, China</t>
  </si>
  <si>
    <t>BALB/c tumor-bearing mice; C57BL/6 healthy mice</t>
  </si>
  <si>
    <t>Female; 6 weeks</t>
  </si>
  <si>
    <t>EMT6 mouse breast cancer cells implanted subcutaneously in back skin</t>
  </si>
  <si>
    <t>Tumor: control n=30, FLASH n=15, CONV n=15; thorax: control n=18, FLASH n=20, CONV n=20</t>
  </si>
  <si>
    <t>Localized subcutaneous tumor; whole thorax in separate healthy-mouse experiment</t>
  </si>
  <si>
    <t>Tumor 18 Gy ×1; thorax 30 Gy ×1</t>
  </si>
  <si>
    <t>Tumor 1000 Gy/s; thorax 1200 Gy/s</t>
  </si>
  <si>
    <t>Pulsed high-energy X-ray; exact value not established from available sources</t>
  </si>
  <si>
    <t>Sub-second; exact experiment-specific value not established from available sources</t>
  </si>
  <si>
    <t>Tumor field 1.5×1.5 cm; whole-thorax irradiation for lung experiment</t>
  </si>
  <si>
    <t>Conventional dose-rate radiotherapy</t>
  </si>
  <si>
    <t>Tumor 15 Gy ×1; thorax 24 Gy ×1</t>
  </si>
  <si>
    <t>No – FLASH doses were higher</t>
  </si>
  <si>
    <t>High-energy X-ray, but energy differed (8 MeV FLASH vs 6 MeV CONV)</t>
  </si>
  <si>
    <t>Non-isodose comparisons and different nominal beam energy confound attribution to dose rate.</t>
  </si>
  <si>
    <t>Tumor growth and survival</t>
  </si>
  <si>
    <t>Not directly evaluable because FLASH dose was 18 Gy vs 15 Gy CONV</t>
  </si>
  <si>
    <t>Overall three-group tumor and survival effects significant; pairwise dose-rate equivalence not established</t>
  </si>
  <si>
    <t>Both irradiated groups controlled EMT6 tumors relative to sham, but the higher FLASH dose prevents a clean efficacy comparison.</t>
  </si>
  <si>
    <t>Serial tumor growth/survival; exact duration in primary figure</t>
  </si>
  <si>
    <t>Yes, but not an isodose test</t>
  </si>
  <si>
    <t>High-energy X-ray FLASH produced effective tumor control while sparing normal tissues.</t>
  </si>
  <si>
    <t>Thoracic lung histology and survival; abdominal GI experiment outside current scope</t>
  </si>
  <si>
    <t>Masson-stained alveolar structure/fibrosis-type injury; survival after whole-thorax irradiation</t>
  </si>
  <si>
    <t>Late survival/histology; exact histology harvest schedule not established from available sources</t>
  </si>
  <si>
    <t>Favorable FLASH sparing, but non-isodose</t>
  </si>
  <si>
    <t>Yes for overall survival comparison</t>
  </si>
  <si>
    <t>Despite 30 Gy FLASH versus 24 Gy CONV, FLASH lungs retained more normal alveolar architecture and thoracic survival was superior.</t>
  </si>
  <si>
    <t>Not a primary mechanistic study</t>
  </si>
  <si>
    <t>Not established; study primarily demonstrated biological feasibility of high-energy X-ray FLASH.</t>
  </si>
  <si>
    <t>None primary</t>
  </si>
  <si>
    <t>EBT3 film/FCT dosimetry; tumor measurements; survival; Masson histology</t>
  </si>
  <si>
    <t>Related PARTER/Mianyang program</t>
  </si>
  <si>
    <t>Yes – distinct published experiment; related platform only</t>
  </si>
  <si>
    <t>S55 is a later parameter/fractionation study from overlapping investigators/platform; no evidence of the same animal cohort.</t>
  </si>
  <si>
    <t>Positive lung sparing with major non-isodose confounding; breast tumor activity demonstrated but comparative efficacy not directly evaluable</t>
  </si>
  <si>
    <t>FLASH and CONV doses and beam energies differed; tumor implanted on back rather than orthotopic mammary site; mechanistic endpoints limited.</t>
  </si>
  <si>
    <t>Yes, with non-isodose flag</t>
  </si>
  <si>
    <t>Large in-vivo cohorts and clear survival/histology signal, but unequal dose and energy materially confound dose-rate attribution.</t>
  </si>
  <si>
    <t>High-energy X-ray FLASH showed thoracic normal-tissue sparing and effective EMT6 tumor treatment, but unequal FLASH/CONV doses prevent a clean isodose efficacy comparison.</t>
  </si>
  <si>
    <t>Whole-thorax survival differed significantly (p=0.038), with an 81% lower reported death risk under 30-Gy FLASH versus 24-Gy CONV despite the higher FLASH dose.</t>
  </si>
  <si>
    <t>One-way repeated ANOVA reported for figure comparisons; survival analyses reported</t>
  </si>
  <si>
    <t>#389</t>
  </si>
  <si>
    <t>Adrian 2021</t>
  </si>
  <si>
    <t>Cancer Cells Can Exhibit a Sparing FLASH Effect at Low Doses Under Normoxic In Vitro-Conditions</t>
  </si>
  <si>
    <t>Adrian, G.; Konradsson, E.; Beyer, S.; Wittrup, A.; Butterworth, K.T.; McMahon, S.J.; Ghita, M.; Petersson, K.; Ceberg, C.</t>
  </si>
  <si>
    <t>primary full text</t>
  </si>
  <si>
    <t>Gabriel Adrian</t>
  </si>
  <si>
    <t>Lund University/Skåne University Hospital, Sweden; multi-institutional</t>
  </si>
  <si>
    <t>MCF7 and MDA-MB-231 breast cancer; other cancer lines; MRC-5 normal human lung fibroblasts</t>
  </si>
  <si>
    <t>Clonogenic experiments repeated 2–4 times (Fig. 1: three independent experiments); 53BP1/cell-cycle analyses: two independent experiments</t>
  </si>
  <si>
    <t>Breast/lung-relevant models: 3, 6, 9 Gy ×1; 12 Gy additionally tested only in HeLa subclone</t>
  </si>
  <si>
    <t>~0.86–1.2 ×10^6 Gy/s depending on dose</t>
  </si>
  <si>
    <t>3.0 Gy/pulse</t>
  </si>
  <si>
    <t>Dose-dependent: ~3.5 μs (3 Gy), ~5 ms (6 Gy), ~10 ms (9 Gy)</t>
  </si>
  <si>
    <t>In vitro cell irradiation on modified Elekta Precise LINAC</t>
  </si>
  <si>
    <t>Conventional dose rate (CONV)</t>
  </si>
  <si>
    <t>3, 6, 9 Gy for breast/lung-relevant models</t>
  </si>
  <si>
    <t>14 Gy/min = 0.233 Gy/s</t>
  </si>
  <si>
    <t>Same 10 MeV electron modality; primary difference dose rate/pulse structure</t>
  </si>
  <si>
    <t>Clonogenic survival / surviving fraction</t>
  </si>
  <si>
    <t>Unfavorable FLASH effect</t>
  </si>
  <si>
    <t>FLASH increased clonogenic survival in MCF7 and MDA-MB-231; MCF7 curve difference P=0.03; MDA-MB-231 significant at 6 and 9 Gy</t>
  </si>
  <si>
    <t>Colonies assessed 9–14 days after irradiation</t>
  </si>
  <si>
    <t>Cancer-cell FLASH sparing was cell-line dependent under normoxic in-vitro conditions</t>
  </si>
  <si>
    <t>Lung/pulmonary cellular endpoint</t>
  </si>
  <si>
    <t>Clonogenic survival of MRC-5 normal human lung fibroblasts</t>
  </si>
  <si>
    <t>No significant MRC-5 clonogenic survival difference; DMF at SF=0.1 = 1.09 (IQR 0.97–1.21), P=0.24</t>
  </si>
  <si>
    <t>DNA damage/repair; cell cycle/checkpoint response</t>
  </si>
  <si>
    <t>53BP1 DNA-damage foci and cell-cycle distributions showed no major FLASH–CONV differences despite clonogenic survival differences</t>
  </si>
  <si>
    <t>Exploratory / hypothesis-generating</t>
  </si>
  <si>
    <t>53BP1</t>
  </si>
  <si>
    <t>IHC/IF; flow cytometry; functional/clonogenic assay</t>
  </si>
  <si>
    <t>53BP1 at 2 h and 24 h; cell cycle at 24 h</t>
  </si>
  <si>
    <t>No linked report identified in current ledger</t>
  </si>
  <si>
    <t>No known overlap/data reuse</t>
  </si>
  <si>
    <t>In vitro only; limited cell lines/replicates; normoxic culture; comparator 0.233 Gy/s; FLASH rate varied by dose</t>
  </si>
  <si>
    <t>Direct quantitative FLASH-vs-CONV clonogenic comparisons but limited to in-vitro cell systems</t>
  </si>
  <si>
    <t>Under normoxic in-vitro conditions, FLASH modestly spared some breast cancer cells while MRC-5 lung fibroblasts showed no significant FLASH-vs-CONV difference.</t>
  </si>
  <si>
    <t>MCF7/MDA-MB-231 showed cancer-cell sparing; MRC-5 was neutral.</t>
  </si>
  <si>
    <t>Nonlinear least-squares survival-curve fitting; F-tests for curve comparison; Wilcoxon rank-sum for dose-specific comparisons; bootstrapping for DMF</t>
  </si>
  <si>
    <t>#411</t>
  </si>
  <si>
    <t>Soto 2020</t>
  </si>
  <si>
    <t>Flash irradiation results in reduced severe skin toxicity compared to conventional-dose-rate irradiation</t>
  </si>
  <si>
    <t>Soto, L.A.; Casey, K.M.; Wang, J.; Blaney, A.; Manjappa, R.; Breitkreutz, D.; Skinner, L.; Dutt, S.; Ko, R.B.; Bush, K.; Yu, A.S.; Melemenidis, S.; Strober, S.; Englemann, E.; Maxim, P.G.; Graves, E.E.; Loo, B.W.</t>
  </si>
  <si>
    <t>Luis A Soto</t>
  </si>
  <si>
    <t>Female; 8 weeks</t>
  </si>
  <si>
    <t>None – normal-tissue skin dose-response study</t>
  </si>
  <si>
    <t>n=5 per dose/modality cohort; control n=5</t>
  </si>
  <si>
    <t>Right-sided hemithorax, 2×2 cm</t>
  </si>
  <si>
    <t>10, 16, 20, 30, or 40 Gy ×1</t>
  </si>
  <si>
    <t>180 Gy/s</t>
  </si>
  <si>
    <t>2.0 Gy/pulse</t>
  </si>
  <si>
    <t>5 μs</t>
  </si>
  <si>
    <t>90 Hz</t>
  </si>
  <si>
    <t>Dose dependent; sub-second</t>
  </si>
  <si>
    <t>2×2 cm right hemithoracic field</t>
  </si>
  <si>
    <t>0.0747 Gy/s</t>
  </si>
  <si>
    <t>Dose per pulse/time structure differed strongly; CONV beam ~0.00104 Gy/pulse in later dosimetric summaries.</t>
  </si>
  <si>
    <t>Thoracic skin toxicity, histopathology, survival</t>
  </si>
  <si>
    <t>Not assessed as a dedicated endpoint</t>
  </si>
  <si>
    <t>Depigmentation, alopecia, ulceration, composite toxicity score, histology, toxicity-related survival</t>
  </si>
  <si>
    <t>Not primary; macroscopic/histologic dose-response</t>
  </si>
  <si>
    <t>FLASH shifted the high-dose skin-ulceration dose-response toward less severe injury.</t>
  </si>
  <si>
    <t>Yes phenotypically</t>
  </si>
  <si>
    <t>Phenotypic, not molecular</t>
  </si>
  <si>
    <t>Blinded skin scoring; H&amp;E histology; Kaplan–Meier survival</t>
  </si>
  <si>
    <t>Weekly to 8 weeks; survival to ~184 days</t>
  </si>
  <si>
    <t>Possible model/platform overlap with later Stanford skin studies</t>
  </si>
  <si>
    <t>Yes – no documented same-animal reuse with later Stanford/Oxford skin studies</t>
  </si>
  <si>
    <t>Related thoracic-skin model literature, but no exact animal/data reuse with later included reports has been documented.</t>
  </si>
  <si>
    <t>Small n=5/group; very high single doses; skin anatomy differs from humans; euthanasia criteria contribute to survival endpoint.</t>
  </si>
  <si>
    <t>Dose-matched in-vivo dose-response with blinded scoring, histology and long follow-up; limited by small groups.</t>
  </si>
  <si>
    <t>Electron FLASH markedly reduced severe thoracic skin toxicity and toxicity-related mortality after 30–40 Gy compared with CONV.</t>
  </si>
  <si>
    <t>At 40 Gy, all CONV mice ulcerated whereas only 2/5 FLASH mice ulcerated; 30-Gy FLASH caused no toxicity-related euthanasia.</t>
  </si>
  <si>
    <t>Mann–Whitney for equal-dose comparisons; log-rank survival; Cohen’s κ inter-rater reliability</t>
  </si>
  <si>
    <t>#445</t>
  </si>
  <si>
    <t>Venkatesulu 2019</t>
  </si>
  <si>
    <t>Ultra high dose rate (35 Gy/sec) radiation does not spare the normal tissue in cardiac and splenic models of lymphopenia and gastrointestinal syndrome</t>
  </si>
  <si>
    <t>2019</t>
  </si>
  <si>
    <t>Venkatesulu, B.P.; Sharma, A.; Pollard-Larkin, J.M.; Sadagopan, R.; Symons, J.; Neri, S.; Singh, P.K.; Tailor, R.; Lin, S.H.; Krishnan, S.</t>
  </si>
  <si>
    <t>Direct UHDR-vs-CONV biological study; 35 Gy/s below canonical ≥40 Gy/s threshold</t>
  </si>
  <si>
    <t>Primary Scientific Reports full text</t>
  </si>
  <si>
    <t>Bhanu Prasad Venkatesulu</t>
  </si>
  <si>
    <t>MD Anderson Cancer Center, USA</t>
  </si>
  <si>
    <t>BALB/c mice for cardiac/GI; C57BL/6 mice for splenic model</t>
  </si>
  <si>
    <t>Cardiac: female BALB/c; splenic: male C57BL/6; ages not established from available sources</t>
  </si>
  <si>
    <t>KPC and Panc02 pancreatic cancer cells only as off-scope tumor context</t>
  </si>
  <si>
    <t>n=5/group for in-vivo control/UHDR/CONV comparisons; experiments repeated in triplicate</t>
  </si>
  <si>
    <t>Heart with 5-mm margin; spleen; abdomen (GI arm outside current scope)</t>
  </si>
  <si>
    <t>Cardiac 2 Gy×5 (10 Gy total); single-fraction cardiac arm reported inconsistently as 8 Gy in text vs 10 Gy in figure; splenic 1 Gy×5 or 5 Gy×1</t>
  </si>
  <si>
    <t>35 Gy/s</t>
  </si>
  <si>
    <t>1 or 5 depending on model</t>
  </si>
  <si>
    <t>Custom lead cutouts; 2×2 or 4×4 cm fields</t>
  </si>
  <si>
    <t>Matched by experimental arm</t>
  </si>
  <si>
    <t>Yes within each arm; cardiac single-dose text/figure discrepancy not established from available sources</t>
  </si>
  <si>
    <t>Electron irradiation, delivered on different linac setups</t>
  </si>
  <si>
    <t>Dose rate/platform; 35 Gy/s falls just below a commonly used ≥40-Gy/s FLASH threshold.</t>
  </si>
  <si>
    <t>Off-scope pancreatic clonogenic survival only</t>
  </si>
  <si>
    <t>Not part of breast-tumor synthesis</t>
  </si>
  <si>
    <t>UHDR was more cytotoxic in KPC/Panc02 clonogenic assays</t>
  </si>
  <si>
    <t>DEF10 1.310 (KPC) and 1.365 (Panc02) favored greater UHDR killing.</t>
  </si>
  <si>
    <t>~8-day clonogenic assay</t>
  </si>
  <si>
    <t>Not applicable to breast review</t>
  </si>
  <si>
    <t>UHDR retained/increased tumoricidal potency in tested pancreatic cell lines.</t>
  </si>
  <si>
    <t>Circulating lymphocyte depletion after cardiac/splenic irradiation; GI toxicity outside current organ scope</t>
  </si>
  <si>
    <t>No direct myocardial structural/functional endpoint; heart was irradiation field for lymphopenia model</t>
  </si>
  <si>
    <t>Not directly evaluable as cardiac tissue sparing</t>
  </si>
  <si>
    <t>Peripheral CD3, CD4, CD8, CD19 depletion/recovery after cardiac irradiation</t>
  </si>
  <si>
    <t>Unfavorable / no FLASH sparing</t>
  </si>
  <si>
    <t>Radiation-induced lymphopenia; apoptosis/necrosis in PBMCs</t>
  </si>
  <si>
    <t>35-Gy/s irradiation did not spare lymphocytes and sometimes produced more severe/sustained depletion than 0.1 Gy/s.</t>
  </si>
  <si>
    <t>Direct immune-cell phenotype</t>
  </si>
  <si>
    <t>CD3; CD4; CD8; CD19; apoptosis/necrosis markers</t>
  </si>
  <si>
    <t>Flow cytometry; clonogenic assays; survival for GI arm</t>
  </si>
  <si>
    <t>Day 3 and serial recovery through day 24 for cardiac model; 24/72 h PBMC apoptosis assays</t>
  </si>
  <si>
    <t>Negative / no thoracic immune sparing at 35 Gy/s</t>
  </si>
  <si>
    <t>35 Gy/s below common 40-Gy/s threshold; no myocardial injury endpoint despite cardiac field; cardiac single-fraction dose reported inconsistently; off-scope GI/pancreatic components.</t>
  </si>
  <si>
    <t>Yes – thoracic immune/hematologic boundary evidence</t>
  </si>
  <si>
    <t>Direct in-vivo matched-rate comparison with serial flow cytometry, but dose rate is borderline and heart injury itself was not measured.</t>
  </si>
  <si>
    <t>At 35 Gy/s, UHDR electron irradiation did not spare circulating lymphocytes after cardiac irradiation and therefore represents an important negative boundary condition for the FLASH effect.</t>
  </si>
  <si>
    <t>After cardiac irradiation, CD3/CD4/CD8/CD19 depletion was comparable or more sustained with 35-Gy/s UHDR; CD3 recovery at day 24 was ~50% of baseline versus ~100% after CONV.</t>
  </si>
  <si>
    <t>Two-tailed unpaired t tests or one-way ANOVA; log-rank for GI survival</t>
  </si>
  <si>
    <t>#1158</t>
  </si>
  <si>
    <t>Gao 2024</t>
  </si>
  <si>
    <t>Effects of ultra-high dose rate radiotherapy with different fractions and dose rate on acute and chronic lung injury in mice</t>
  </si>
  <si>
    <t>Heliyon</t>
  </si>
  <si>
    <t>Gao, F.; Lin, B.; Yang, Y.; Xiao, D.; Zhou, Z.; Zhang, Y.; Feng, G.; Li, J.; Wu, D.; Du, X.; Shi, Q.</t>
  </si>
  <si>
    <t>UHDR-only dose-rate/fractionation parameter study; no CONV arm</t>
  </si>
  <si>
    <t>Primary Heliyon/PMC full text</t>
  </si>
  <si>
    <t>Chongqing Medical University / Mianyang Central Hospital, China</t>
  </si>
  <si>
    <t>Female; 6–8 weeks</t>
  </si>
  <si>
    <t>Five mice/group harvested at 48 h for 30-Gy histology; survival cohort sizes not established from available sources</t>
  </si>
  <si>
    <t>Thorax, 2×2 cm field</t>
  </si>
  <si>
    <t>30 Gy or 20 Gy total</t>
  </si>
  <si>
    <t>100 or 250 Gy/s</t>
  </si>
  <si>
    <t>Study reports total exposure time 0.12 s for compared 250-Gy/s fractionation regimens; exact per-fraction delivery not established from available sources</t>
  </si>
  <si>
    <t>1, 2, or 4; two-fraction 30-Gy regimen = 15 Gy×2 with ~8-min interval</t>
  </si>
  <si>
    <t>2×2 cm thoracic field; vertical posterior irradiation</t>
  </si>
  <si>
    <t>No conventional-dose-rate comparator</t>
  </si>
  <si>
    <t>Compared 100 vs 250 Gy/s and 1F vs 2F vs 4F UHDR regimens</t>
  </si>
  <si>
    <t>Parameter comparisons used same total dose within experiment</t>
  </si>
  <si>
    <t>Dose rate and fractionation were experimental variables.</t>
  </si>
  <si>
    <t>Acute lung histology, chronic survival, body weight</t>
  </si>
  <si>
    <t>H&amp;E/Masson morphology; acute pneumonitis-type injury; survival after 20/30 Gy</t>
  </si>
  <si>
    <t>48 h acute; survival/chronic observation to ≥95–142 days</t>
  </si>
  <si>
    <t>Not directly evaluable versus CONV; within UHDR, 250 Gy/s favored acute sparing over 100 Gy/s</t>
  </si>
  <si>
    <t>Yes for survival at 30 Gy 250 vs 100 Gy/s; fractionation-dependent effects</t>
  </si>
  <si>
    <t>At 30 Gy, 250 Gy/s produced better survival and milder acute lung injury than 100 Gy/s; 2-fraction delivery was worse than 1 fraction. At 20 Gy, survival did not differ significantly across rate/fraction groups.</t>
  </si>
  <si>
    <t>Dose-rate/fractionation dependence; oxygen-depletion hypothesis discussed</t>
  </si>
  <si>
    <t>The superior 1F versus 2F response was interpreted as consistent with reoxygenation between split doses, but oxygen depletion was not directly measured.</t>
  </si>
  <si>
    <t>Within-UHDR parameter dependence only</t>
  </si>
  <si>
    <t>Inferred</t>
  </si>
  <si>
    <t>Survival/body weight; H&amp;E; Masson trichrome</t>
  </si>
  <si>
    <t>48 h and long-term survival</t>
  </si>
  <si>
    <t>Related PARTER/Mianyang research program</t>
  </si>
  <si>
    <t>Yes – later distinct parameter study</t>
  </si>
  <si>
    <t>Same broader investigator/platform program as Gao 2022, but a distinct BALB/c thoracic dose-rate/fractionation experiment.</t>
  </si>
  <si>
    <t>UHDR parameter effect: higher rate and single-fraction delivery favored acute lung protection; FLASH-vs-CONV not evaluable</t>
  </si>
  <si>
    <t>No conventional arm; small histology subset; chronic 20-Gy outcomes largely neutral; oxygen mechanism speculative.</t>
  </si>
  <si>
    <t>Yes – parameter/modifier evidence, not direct-comparator denominator</t>
  </si>
  <si>
    <t>Direct in-vivo manipulation of dose rate and fractionation, but absence of CONV arm prevents a formal FLASH-vs-CONV sparing conclusion.</t>
  </si>
  <si>
    <t>Within the UHDR range, 250 Gy/s and single-fraction delivery reduced acute thoracic toxicity relative to 100 Gy/s or split dosing, but the study had no conventional comparator.</t>
  </si>
  <si>
    <t>At 30 Gy, median OS was not reached by day 95 at 250 Gy/s versus 89.5 days at 100 Gy/s (p=0.0436); 30 Gy/2F had worse survival than 30 Gy/1F (p=0.0132).</t>
  </si>
  <si>
    <t>Kaplan–Meier/log-rank-type survival comparisons and histologic comparisons; exact full statistical plan in article</t>
  </si>
  <si>
    <t>#1250</t>
  </si>
  <si>
    <t>Engels 2025</t>
  </si>
  <si>
    <t>The Impact of Synchrotron Microbeam Radiation Therapy Combined With Broad Beam in a Preclinical Breast Cancer Model</t>
  </si>
  <si>
    <t>Engels, E.; Forrester, H.; Klein, M.; Bell, C.; Balderstone, I.; Brunt, K.; Barnes, M.J.; Cameron, M.; Crosbie, J.C.; Middleton, R.; Fernandez-Palomo, C.; Dietler, B.D.B.; Trappetti, V.; Fazzari, J.M.; Hausermann, D.; Anderson, R.L.; Djonov, V.G.; Martin, O.A.</t>
  </si>
  <si>
    <t>UHDR spatial/fractionation treatment-program study; no clean FLASH-vs-CONV comparator</t>
  </si>
  <si>
    <t>Primary Advances in Radiation Oncology/PMC full text</t>
  </si>
  <si>
    <t>Australian Synchrotron / University of Wollongong / collaborating Australian and Swiss institutions</t>
  </si>
  <si>
    <t>Female; age not established from available sources article Methods</t>
  </si>
  <si>
    <t>4T1.2 mCherry triple-negative mammary carcinoma in left inguinal mammary gland</t>
  </si>
  <si>
    <t>105 study mice, 21/group across control + four treatment programs; 4 additional mice used for CT planning (109 total)</t>
  </si>
  <si>
    <t>Left inguinal mammary tumor; 10×10 mm fields</t>
  </si>
  <si>
    <t>No – inguinal mammary field</t>
  </si>
  <si>
    <t>MRT: 292–300 Gy peak / 6.7–6.9 Gy valley per MRT fraction; BB: 7.8–8.0 Gy per BB fraction</t>
  </si>
  <si>
    <t>Derived average exposure rate: MRT peak ~1046–1049 Gy/s; MRT valley ~23.8–24.3 Gy/s; BB ~109.6–113.0 Gy/s</t>
  </si>
  <si>
    <t>N/A – synchrotron scanned MRT/BB exposure; not conventional linac pulse delivery</t>
  </si>
  <si>
    <t>N/A / not reported as conventional pulse width</t>
  </si>
  <si>
    <t>MRT 279–286 ms; BB 69–73 ms per fraction</t>
  </si>
  <si>
    <t>3 consecutive daily fractions</t>
  </si>
  <si>
    <t>10×10 mm field; MRT 50-μm microbeams with 200-μm center-to-center spacing; daily beam angles 0°, +15°, −15°; MRT stage speed 3.67–3.76 mm/s; BB 14.37–15.20 mm/s</t>
  </si>
  <si>
    <t>Treatment-program comparison: MMM, BBB, MBB, and BBM; BBB consisted of UHDR broad-beam irradiation, not conventional-dose-rate RT</t>
  </si>
  <si>
    <t>N/A – no CONV arm</t>
  </si>
  <si>
    <t>N/A – BBB was ~109.6–113.0 Gy/s, not CONV</t>
  </si>
  <si>
    <t>Not applicable; programs differed in MRT peak/valley vs BB spatial dose distributions</t>
  </si>
  <si>
    <t>Same synchrotron X-ray source, but MRT and BB geometries fundamentally differed</t>
  </si>
  <si>
    <t>MRT was spatially fractionated with ~292–300 Gy peaks and ~6.7–6.9 Gy valleys, whereas BB delivered homogeneous 7.8–8.0 Gy; exposure duration, stage speed and spatial geometry differed substantially</t>
  </si>
  <si>
    <t>Primary tumor growth, survival, metastatic burden, tumor immune composition</t>
  </si>
  <si>
    <t>Not directly evaluable as dose-rate effect</t>
  </si>
  <si>
    <t>Combined MRT/BB improved primary tumor response versus all-BB/all-MRT schedules; exact pairwise P values in article</t>
  </si>
  <si>
    <t>Adding one MRT fraction to two BB fractions improved local tumor response/tolerance; metastasis burden was similar among treatment schedules.</t>
  </si>
  <si>
    <t>Short-term endpoint day 9 after final irradiation; separate long-term survival cohort</t>
  </si>
  <si>
    <t>UHDR MRT-containing regimens were active; no conventional dose-rate comparison</t>
  </si>
  <si>
    <t>A single MRT fraction added to BB improved primary tumor response but did not improve distant metastatic burden.</t>
  </si>
  <si>
    <t>Treatment tolerance; no eligible thoracic normal-tissue endpoint</t>
  </si>
  <si>
    <t>Lung metastatic burden, not normal-lung toxicity</t>
  </si>
  <si>
    <t>Not directly evaluable for normal tissue</t>
  </si>
  <si>
    <t>Not eligible – inguinal field</t>
  </si>
  <si>
    <t>Tumor immune microenvironment only</t>
  </si>
  <si>
    <t>Tumor macrophage polarization; local immune response</t>
  </si>
  <si>
    <t>MRT/BB combination shifted macrophage balance toward an antitumorigenic phenotype within the primary tumor.</t>
  </si>
  <si>
    <t>Not a normal-tissue mechanism</t>
  </si>
  <si>
    <t>Direct tumor immune phenotyping</t>
  </si>
  <si>
    <t>Macrophage phenotype markers; mCherry for metastatic burden; exact panel in full Methods</t>
  </si>
  <si>
    <t>Tumor volumetry; immune histology/phenotyping; qPCR metastatic-burden assay; survival</t>
  </si>
  <si>
    <t>Day 9 after final irradiation for biological endpoints</t>
  </si>
  <si>
    <t>Related program to S18; distinct animals</t>
  </si>
  <si>
    <t>Yes – distinct 105-mouse study cohort from S18</t>
  </si>
  <si>
    <t>The later S18 study explicitly reused the treatment concept but acquired 48 new mice and varied MRT dose rate; treat as independent cohorts.</t>
  </si>
  <si>
    <t>Positive MRT/BB combination efficacy; pure dose-rate effect not directly evaluable</t>
  </si>
  <si>
    <t>No conventional-dose-rate arm; spatial dose geometry differs radically between MRT and BB; metastatic burden unchanged; inguinal skin outside thoracic scope.</t>
  </si>
  <si>
    <t>Yes – contextual breast tumor/immune evidence; exclude from direct FLASH-vs-CONV denominator</t>
  </si>
  <si>
    <t>Large in-vivo TNBC cohort with local, metastatic and immune endpoints, but design addresses treatment-program composition rather than dose rate.</t>
  </si>
  <si>
    <t>In 4T1.2 TNBC, replacing one of three synchrotron broad-beam fractions with MRT improved local tumor response and antitumor macrophage balance without reducing metastatic burden.</t>
  </si>
  <si>
    <t>Combined MRT/BB shifted macrophage balance toward antitumorigenic phenotypes and improved local control/tolerance, while lung/spinal metastatic burden was similar across all four treatment schedules.</t>
  </si>
  <si>
    <t>Tumor-growth, survival, immune and metastatic-burden comparisons; endpoint-specific tests in full article</t>
  </si>
  <si>
    <t>#1384</t>
  </si>
  <si>
    <t>Lenartowicz-Gasik 2025</t>
  </si>
  <si>
    <t>IORT AQURE IN FLASH MODE: DOSIMETRIC CONTROL IN BREAST CANCER CELL IN VITRO EXPERIMENTS</t>
  </si>
  <si>
    <t>Metrology and Measurement Systems</t>
  </si>
  <si>
    <t>Lenartowicz-Gasik, A.; Osuchowska, P.; Misiarz, A.; Soroka, W.; Trafny, E.A.; Mierczyk, Z.; Rzadkiewicz, J.</t>
  </si>
  <si>
    <t>FLASH-only in-vitro biological + dosimetric platform study</t>
  </si>
  <si>
    <t>Primary Metrology and Measurement Systems article/PDF</t>
  </si>
  <si>
    <t>Aleksandra Lenartowicz-Gasik</t>
  </si>
  <si>
    <t>National Centre for Nuclear Research / Military University of Technology / University of Warsaw, Poland</t>
  </si>
  <si>
    <t>In vitro + dosimetry</t>
  </si>
  <si>
    <t>N/A – human cell line</t>
  </si>
  <si>
    <t>HCC38 human breast cancer cells</t>
  </si>
  <si>
    <t>Three independent biological samples for each tested dose in gamma/dosimetric analysis; viability replicate details not established from available sources</t>
  </si>
  <si>
    <t>N/A – cell flasks</t>
  </si>
  <si>
    <t>5, 10, or 15 Gy ×1</t>
  </si>
  <si>
    <t>150 Gy/s</t>
  </si>
  <si>
    <t>SSD 60 cm; PMMA applicator; circular 100-mm field; flasks irradiated with films beneath</t>
  </si>
  <si>
    <t>No conventional-dose-rate biological comparator</t>
  </si>
  <si>
    <t>Unirradiated and sham controls only</t>
  </si>
  <si>
    <t>FLASH-only platform validation.</t>
  </si>
  <si>
    <t>HCC38 cell viability/morphology after FLASH doses</t>
  </si>
  <si>
    <t>Dose-dependent viability reduction reported versus control; no CONV arm</t>
  </si>
  <si>
    <t>15-Gy FLASH reduced HCC38 viability by approximately 90%.</t>
  </si>
  <si>
    <t>FLASH had tumor-cell killing activity; no dose-rate comparison</t>
  </si>
  <si>
    <t>AQURE FLASH beam can reproducibly deliver biologically active doses to breast cancer cells.</t>
  </si>
  <si>
    <t>Not a mechanistic comparison; study validates dosimetry and demonstrates HCC38 viability loss after FLASH.</t>
  </si>
  <si>
    <t>Radiochromic-film dosimetry; gamma-index analysis; cell viability/morphology</t>
  </si>
  <si>
    <t>S41 (same broader Polish research ecosystem; different cells/experiment)</t>
  </si>
  <si>
    <t>Yes as a distinct FLASH-only experiment; no for direct comparator denominator</t>
  </si>
  <si>
    <t>HCC38/AQURE platform differs from the MCF-7/MCF-12A comparison in S41.</t>
  </si>
  <si>
    <t>No CONV arm; primary emphasis is dosimetric validation; single cell line; viability is not equivalent to tumor control.</t>
  </si>
  <si>
    <t>Contextual breast-cell evidence; not direct comparator denominator</t>
  </si>
  <si>
    <t>Yes – preclinical dosimetry/platform</t>
  </si>
  <si>
    <t>Well-characterized beam and reproducible dosimetry, but no conventional comparator and limited biological depth.</t>
  </si>
  <si>
    <t>A 9-MeV AQURE electron beam delivered reproducible 150-Gy/s FLASH exposures to HCC38 breast cancer cells and produced strong dose-dependent viability loss.</t>
  </si>
  <si>
    <t>Gamma-index pass rates exceeded 96% across 5–15 Gy exposures, and 15-Gy FLASH reduced HCC38 viability by about 90%.</t>
  </si>
  <si>
    <t>Gamma-index dosimetry plus cell-viability comparisons; exact biological test not established from available sources</t>
  </si>
  <si>
    <t>#1409</t>
  </si>
  <si>
    <t>Li 2026</t>
  </si>
  <si>
    <t>Early Fibroblast Remodeling Associated with Lung Tissue Preservation After FLASH Irradiation</t>
  </si>
  <si>
    <t>Phenomics</t>
  </si>
  <si>
    <t>Li, C.; Tan, L.; Liu, Q.; Li, Z.; Li, M.; Yang, X.; Dong, G.; Quan, C.; Ping, J.; Wang, C.; Lu, H.</t>
  </si>
  <si>
    <t>Mixed: secondary scRNA-seq reanalysis of two included source datasets + new in-vivo histologic validation</t>
  </si>
  <si>
    <t>Primary Phenomics 2026 article (DOI 10.1007/s43657-026-00343-z) and accompanying Supplementary Information; source-checked 2026-10-12.</t>
  </si>
  <si>
    <t>Caihui Li</t>
  </si>
  <si>
    <t>Hebei University / Academy of Military Medical Sciences, China</t>
  </si>
  <si>
    <t>Secondary single-cell analysis + in-vivo histologic validation</t>
  </si>
  <si>
    <t>Murine lung datasets/experiments; source early cohort C57BL/6J</t>
  </si>
  <si>
    <t>Inherited early dataset from S2; exact histology-cohort sex/age not established from available sources supplement</t>
  </si>
  <si>
    <t>None – healthy thoracic irradiation</t>
  </si>
  <si>
    <t>Secondary scRNA-seq analyses of Lu 2025 at 1/7 dpi (GSE298566) and Sesink 2024 late dataset (GSE240510); new histology/fibrosis validation n=3/group (Fig. 2 legend/Supplementary Fig. S5).</t>
  </si>
  <si>
    <t>17.8 Gy ×1 for reused Lu 2025 early thoracic dataset; other reused datasets/settings must remain attributed to original source.</t>
  </si>
  <si>
    <t>200 Gy/s (reused Lu 2025, 6-MeV electron dataset); other dataset conditions must not be combined as one beam regimen.</t>
  </si>
  <si>
    <t>1 for the reused Lu 2025 thoracic experiment; other dataset conditions are separate.</t>
  </si>
  <si>
    <t>Reused Lu 2025 cohort: 6-MeV electrons, 2.5 × 6 cm thoracic field.</t>
  </si>
  <si>
    <t>Yes in source datasets/histology</t>
  </si>
  <si>
    <t>Conventional-dose-rate thoracic irradiation</t>
  </si>
  <si>
    <t>17.8 Gy ×1 in reused Lu 2025 dataset; distinguish separate later dataset and new validation samples.</t>
  </si>
  <si>
    <t>0.3 Gy/s (reused Lu 2025 early dataset); other dataset dose rates must be attributed separately.</t>
  </si>
  <si>
    <t>Yes within source datasets</t>
  </si>
  <si>
    <t>This publication combines independent source datasets with newly presented histology; do not treat all analyses as one independent cohort.</t>
  </si>
  <si>
    <t>Early fibroblast-state remodeling, cell-cell communication, late fibrosis/histology</t>
  </si>
  <si>
    <t>Fibroblast subtype preservation; ECM/stress programs; H&amp;E/Masson; Szapiel injury/fibrosis scores; late fibroblast GSVA</t>
  </si>
  <si>
    <t>Reused Lu scRNA-seq at 1 and 7 days; independently analyzed late scRNA-seq at 5 months; histology at 3 and 6 months (6-month Fig.2 n=3/group).</t>
  </si>
  <si>
    <t>Favorable FLASH-associated tissue preservation</t>
  </si>
  <si>
    <t>Yes for selected fibroblast pathway/GSVA and histologic endpoints; exact groupwise tests in article/supplement</t>
  </si>
  <si>
    <t>FLASH preserved multiple fibroblast states at day 7, favored ECM/structural remodeling rather than stress/inflammatory programs, and showed less late alveolar disruption/collagen accumulation.</t>
  </si>
  <si>
    <t>Fibroblast–immune/stromal communication; not a dedicated hematologic endpoint</t>
  </si>
  <si>
    <t>Mechanistic stromal difference; not a formal thoracic immune count</t>
  </si>
  <si>
    <t>Fibroblast-state dynamics; midkine (Mdk/MK) signaling; ECM remodeling; inflammation/stress; DNA repair/p53/metabolism</t>
  </si>
  <si>
    <t>An Mdk+ fibroblast state showed strong intercellular communication after FLASH; FLASH favored coordinated ECM/structural remodeling, whereas CONV favored stress/inflammatory programs.</t>
  </si>
  <si>
    <t>Computationally supported/associative; not causal</t>
  </si>
  <si>
    <t>Mdk; ECM-remodeling genes; DNA-repair/p53/metabolic pathway genes</t>
  </si>
  <si>
    <t>scRNA-seq reanalysis; Monocle trajectory; cell-cell communication; GO/GSVA; H&amp;E; Masson trichrome; Szapiel scoring</t>
  </si>
  <si>
    <t>1 d, 7 d, 3 mo, 5 mo, 6 mo</t>
  </si>
  <si>
    <t>Yes – reanalyses of public Lu 2025 and Sesink 2024 single-cell datasets, with distinct histologic validation.</t>
  </si>
  <si>
    <t>S2; S40</t>
  </si>
  <si>
    <t>Partial – NO for reused scRNA-seq (GSE298566 from S2; GSE240510 from S40); YES for newly conducted 3/6-month histology</t>
  </si>
  <si>
    <t>Reused GSE298566 (Lu et al. 2025; S2) and GSE240510 (Sesink 2024); do not count these omics observations as independent. Retain distinct newly performed histology validation only for outcome-level independence.</t>
  </si>
  <si>
    <t>Positive mechanistic interpretation; major dataset reuse requires deduplication</t>
  </si>
  <si>
    <t>Central single-cell analyses reuse already included public datasets; late GSE240510 is extremely small; Mdk mechanism is associative; new histology has small n.</t>
  </si>
  <si>
    <t>Yes – count new histology if used; use reused scRNA-seq only for mechanistic narrative, not as independent outcome evidence</t>
  </si>
  <si>
    <t>Moderate for mechanistic interpretation; low independence for study-level counting</t>
  </si>
  <si>
    <t>Rich cross-time fibroblast analysis and histology, but central omics data are explicitly reused from S2/S40 rather than independent biological cohorts.</t>
  </si>
  <si>
    <t>FLASH-associated lung preservation was linked to early fibroblast-state maintenance and Mdk-centered stromal remodeling, but the principal single-cell evidence reuses datasets already represented by S2 and S40.</t>
  </si>
  <si>
    <t>At day 7, FLASH preferentially preserved fibroblast states and promoted ECM/structural programs; CONV induced stress/inflammatory signatures, while 3–6-month histology showed greater alveolar disruption/collagen after CONV.</t>
  </si>
  <si>
    <t>Reused single-cell dataset 136,058 cells, 1/7 dpi; new 6-month histology n=3/group, with significantly lower injury/fibrosis scores after FLASH than CONV (figure symbols; avoid exact P absent numerical report).</t>
  </si>
  <si>
    <t>Single-cell differential expression, trajectory/cell-communication analyses, GSVA and histologic score comparisons</t>
  </si>
  <si>
    <t>Mechanistic theme coding derived from the Full Extraction dataset</t>
  </si>
  <si>
    <t>Theme</t>
  </si>
  <si>
    <t>Count (n)</t>
  </si>
  <si>
    <t>Proportion</t>
  </si>
  <si>
    <t>Coding basis</t>
  </si>
  <si>
    <t>Explicit ROS/redox, oxygen/hypoxia, oxidative/antioxidant, lipid-peroxidation, radical-chemistry, or related terms in 'Mechanistic pathways assessed'.</t>
  </si>
  <si>
    <t>Explicit immune, inflammatory, cytokine, myeloid/macrophage/neutrophil, interferon/STING, checkpoint, lymphocyte/T-cell, or related terms.</t>
  </si>
  <si>
    <t>Explicit DNA damage/repair, DSB/NHEJ, DNA-PK/γH2AX, extracellular/cytosolic DNA, or related terms.</t>
  </si>
  <si>
    <t>Explicit apoptosis, necrosis, ferroptosis, senescence, cell-cycle/checkpoint, proliferation, or progenitor terms.</t>
  </si>
  <si>
    <t>Explicit fibrosis, TGF-β, remodeling, EMT, or ECM terms.</t>
  </si>
  <si>
    <t>Explicit mitochondrial, ATP, metabolic/metabolomic, sphingolipid, one-carbon, β-alanine, or related terms.</t>
  </si>
  <si>
    <t>Full citation</t>
  </si>
  <si>
    <t>Favaudon V, Caplier L, Monceau V, Pouzoulet F, Sayarath M, Fouillade C, Poupon MF, Brito I, Hupé P, Bourhis J, Hall J, Fontaine JJ, Vozenin MC. Ultrahigh dose-rate FLASH irradiation increases the differential response between normal and tumor tissue in mice. Sci Transl Med. 2014. doi:10.1126/scitranslmed.3008973.</t>
  </si>
  <si>
    <t>Lu H, Li M, Quan C, Li C, Li D, Li Z, Xu J, Zhang L, Liu Q, Dong G, Wang C. FLASH Irradiation Modulates Immune Responses and Accelerates Lung Recovery: A Single-Cell Perspective. Adv Sci (Weinh). 2025. doi:10.1002/advs.202501797.</t>
  </si>
  <si>
    <t>Johnson AL, Tau S, Sloop AM, Dai T, Roberts AM, Muskus P, Warren A, Kleist SA, Hampsch RA, Jorns JM, Zhang R, Jarvis LA, Miller TW. Combined Radiation and Endocrine Therapies Elicit Benefit in ER+ Breast Cancer. Cancers (Basel). 2025. doi:10.3390/cancers17121921.</t>
  </si>
  <si>
    <t>Fouillade C, Curras-Alonso S, Giuranno L, Quelennec E, Heinrich S, Bonnet-Boissinot S, Beddok A, Leboucher S, Karakurt HU, Bohec M, Baulande S, Vooijs M, Verrelle P, Dutreix M, Londoño-Vallejo A, Favaudon V. FLASH Irradiation Spares Lung Progenitor Cells and Limits the Incidence of Radio-induced Senescence. Clin Cancer Res. 2020. doi:10.1158/1078-0432.CCR-19-1440.</t>
  </si>
  <si>
    <t>Tessonnier T, Mein S, Walsh DWM, Schuhmacher N, Liew H, Cee R, Galonska M, Scheloske S, Schömers C, Weber U, Brons S, Debus J, Haberer T, Abdollahi A, Mairani A, Dokic I. FLASH Dose Rate Helium Ion Beams: First In Vitro Investigations. Int J Radiat Oncol Biol Phys. 2021. doi:10.1016/j.ijrobp.2021.07.1703.</t>
  </si>
  <si>
    <t>Hao, X., Du, H., Lin, B., Xia, Y., Tang, M., Wu, W., Wang, D., Zhu, Y., Zhang, Y., Wang, J., Yang, Y., Wu, D., Du, X. Preclinical validation of a clinical prototype of intraoperative electron FLASH radiotherapy equipment: key evidence for a new radiotherapy paradigm. Radiation Oncology. 2026. doi:10.1186/s13014-025-02781-x.</t>
  </si>
  <si>
    <t>Lu, X., Xie, D., Cui, L., Shang, H., Zhou, L. FLASH radiotherapy preserves hepatic function and maintains metabolic homeostasis in a murine breast cancer model: an experimental preclinical study. Radiation Oncology. 2026. doi:10.1186/s13014-026-02878-x.</t>
  </si>
  <si>
    <t>Jiang, Y., Wang, X., Yang, C., Wu, J., Chen, Y., Li, J., Wang, Q., Zhu, W. Response of MRC-5 human lung fibroblasts to FLASH and conventional radiotherapy: A study on differential DNA damage and transcriptomic response. Computational Biology and Chemistry. 2026. doi:10.1016/j.compbiolchem.2026.109198.</t>
  </si>
  <si>
    <t>Arrigo, A., Brants, L., Vanreusel, V., Stevens, P., Colijn, A., Meijnders, P., Verellen, D., Poortmans, P., Wouters, A., Gasparini, A., Montay-Gruel, P. FLASH radiation therapy mitigates immunogenic and pro-fibrotic transcriptomic responses in healthy lung tissue. Radiotherapy and Oncology. 2026. doi:10.1016/j.radonc.2026.111689.</t>
  </si>
  <si>
    <t>Tsubouchi, K., Yoshida, Y., Yagi, M., Minami, K., Suda, H., Nakao, M., Yusa, K., Tashiro, M., Shimizu, S., Ohno, T., Ogawa, K. For ultra-high dose rate carbon-ion irradiation, comparable beam parameters induce the equivalent cell sparing (FLASH) effect. Journal of radiation research. 2026. doi:10.1093/jrr/rrag039.</t>
  </si>
  <si>
    <t>Arrigo, A., Brants, L., Kramp, L., Vanreusel, V., Stevens, P., Colijn, A., Hermans, C., Meijnders, P., Verellen, D., Poortmans, P., Audenaerde, J.V., Wouters, A., Gasparini, A., Montay-Gruel, P. FLASH radiotherapy induces unique immunotranscriptomic profiles compared to conventional dose-rate radiotherapy, despite identical immune infiltration and antitumor efficacy in a murine model of triple-negative breast cancer. Radiotherapy and Oncology. 2026. doi:10.1016/j.radonc.2026.111548.</t>
  </si>
  <si>
    <t>Shao, C., Zhang, Y., He, P., Yu, X., Peng, W., Chen, J., Hu, H., Wang, Y., Xiao, M., Liu, C., Sui, L., Dai, T., Mu, X., Jia, X., Bin, J., Huang, Q. Nanosecond Laser-Driven Proton FLASH Spares Normal Tissue Cells by Sustaining Mitochondrial Homeostasis and Attenuating Ferroptosis. iMed. 2026. doi:10.70322/iMed.2026.10006.</t>
  </si>
  <si>
    <t>Lin, B., Du, H., Yang, Y., Hao, X., Gao, F., Liang, Y., Tang, W., Xu, H., Tang, M., Liao, Y., Wang, D., Zhu, Y., Wang, T., Gu, R., Mao, X., He, Y., Zhang, Y., Li, J., Zhou, Z., Wang, J., Wu, D., Du, X. FLASH Radiation Therapy Using High-Energy X-Rays: Validation of the Flash Effect Triggered by a Compact Device. International Journal of Radiation Oncology Biology Physics. 2026. doi:10.1016/j.ijrobp.2025.09.069.</t>
  </si>
  <si>
    <t>Araya, H., Jain, J., Andaur, R., Moreno, J., Davis, S., Diaz, P., Velásquez, E., Orellana, J., Ríos, M., Toro, J., Orellana-Serradell, O., Fierro, C., Soto, L., Marcelain, K. DNA damage and cell death induced by exposure to ultra-high dose rate low-dose pulsed X-rays emitted from a kilojoule plasma focus device. Biological research. 2026. doi:10.1186/s40659-026-00674-1.</t>
  </si>
  <si>
    <t>Ghita-Pettigrew, M., Brown, K.H., Kerr, B.N., Walls, G.M., Verginadis, I.I., Adrian, G., Petersson, K., McMahon, S.J., Butterworth, K.T. Photon FLASH spares radiation-induced changes in cardiac function, remodelling and arrythmia in a preclinical model. Radiotherapy and Oncology. 2026. doi:10.1016/j.radonc.2026.111369.</t>
  </si>
  <si>
    <t>Lee, S.E., Sheen, H., Kim, Y., Cho, S., Ahn, S.H., Sasai, K., Kamiguchi, N., Inoue, J., Amano, D., Park, H.C., Han, Y., Choi, C. Localized normal tissue-sparing effects of proton FLASH radiotherapy in a preclinical lung irradiation model. The British journal of radiology. 2026. doi:10.1093/bjr/tqag015.</t>
  </si>
  <si>
    <t>Guo, Z., Luo, Y., Wang, J. Molecular Mechanisms of FLASH Radiotherapy in Alleviating Lung Normal Tissue Injury: Insights from Single-Cell Sequencing. Radiation Research. 2026. doi:10.1667/RADE-25-00125.</t>
  </si>
  <si>
    <t>Engels, E., Forrester, H.B., Trappetti, V., Mouchemore, K., Klein, M., Sprung, A.H., Brunt, K., Barnes, M.J., Cameron, M., de Rover, V., Dietler, B.D.B., Rosenfeld, A.B., Lerch, M.L.F., Anderson, R.L., Martin, O.A., Djonov, V.G. Is Ultrahigh Dose Rate Critical for the Effectiveness of Microbeam Radiation Therapy in a Broad-Beam Combined Treatment?. Advances in Radiation Oncology. 2026. doi:10.1016/j.adro.2025.101949.</t>
  </si>
  <si>
    <t>Dela, R., Lemos Da Silva, L., Beyer, S., Singers Sørensen, B., Poulsen, P., Konradsson, E., Hörberger, F., Petersson, K., Ceberg, C., Adrian, G. Not all tumors are alike: varying efficacy of FLASH across tumor types and oxygenation status in spheroid models. British Journal of Radiology. 2026. doi:10.1093/bjr/tqaf219.</t>
  </si>
  <si>
    <t>Autsavapromporn, N., Mamiya, T., Liu, C., Duangya, A., Tengku Ahmad, T.A., Oikawa, M., Konishi, T. Bystander effects in both hypoxic cancer and normal cells under FLASH irradiation using proton microbeams. International Journal of Radiation Biology. 2026. doi:10.1080/09553002.2026.2654422.</t>
  </si>
  <si>
    <t>Tao, R.-H., Liu, K., Aguilar, E., Wang, M., Aggarwal, S., Neill, D., Velasquez, B., Beddar, S., Koong, A.C., Mohan, R., Schüler, E., Lin, S.H. FLASH Radiotherapy Mitigates Radiation-Induced Lymphopenia and Prevents Immunosuppression via Chk1-STAT3 Axis Modulation in a Preclinical Thoracic Irradiation Model. International Journal of Radiation Oncology Biology Physics. 2026. doi:10.1016/j.ijrobp.2026.04.018.</t>
  </si>
  <si>
    <t>Paillas, S., Then, C.K., Suárez-Bonnet, A., Priestnall, S.L., Kumaran, G., Ruan, J.-L., Tullis, I.D.C., Olcina, M.M., Bottomley, M.J., Petersson, K. Radiation Dose-Dependent Skin Toxicity and Therapeutic Advantage of FLASH Radiation Therapy Via Immune Modulation. International Journal of Radiation Oncology Biology Physics. 2026. doi:10.1016/j.ijrobp.2026.05.015.</t>
  </si>
  <si>
    <t>Zafar, A.J., Dutta, S.W., Case, M.J., Diamond, Z., Bohannon, D., Jagsi, R., Yang, X., Zhou, J. Optimizing Transmission FLASH Radiation Therapy for Large-Field Postmastectomy Breast Treatment. International Journal of Radiation Oncology Biology Physics. 2026. doi:10.1016/j.ijrobp.2026.04.095.</t>
  </si>
  <si>
    <t>Luo, H., Yang, C., Hu, D., Laster, K.V., Mao, R., Ma, L., Lei, H., Ge, H. Evaluation of inflammation-mediated cancer progression during FLASH and conventional irradiation-induced lung injury. Clinical Science. 2026. doi:10.1042/cs20257640.</t>
  </si>
  <si>
    <t>Minafra, L., Calvaruso, M., Pucci, G., Sarnari, F., Russo, G., Bravatà, V., Cammarata, F.P., Di Martino, F., Cavalieri, A., Bartolomei, L., Grassi, A., Dalfovo, D., Romanel, A., Bonanomi, M., Croci, S., Scifoni, E., Bisio, A., Forte, G.I. Early molecular changes induced by FLASH irradiation in MCF10A and MDA-MB-231 breast cell lines. Frontiers in Oncology. 2026. doi:10.3389/fonc.2026.1857611.</t>
  </si>
  <si>
    <t>Velalopoulou, A., Mak, T.D., Deziel, A., Kim, M.M., Koumenis, C., Christofidou-Solomidou, M., Laiakis, E.C. Comparative metabolomic analysis of human lung slices (hu-PCLS) exposed to either standard or FLASH protons: a pilot study. Radiation Oncology. 2025. doi:10.1186/s13014-025-02714-8.</t>
  </si>
  <si>
    <t>Dubail, M., Lafouasse, C., Heinrich, S., Favaudon, V., Londoño-Vallejo, A., Dutreix, M., Colin, D., Côté, J.-F., Didier, J., Pouliquen, C., Benali, A., Verrelle, P., Lefèvre, M., Girard, N., Seguin-Givelet, A., Créhange, G., Fouillade, C. Sparing effects of FLASH irradiation in patient-derived lung tissue. Radiotherapy and Oncology. 2025. doi:10.1016/j.radonc.2025.111126.</t>
  </si>
  <si>
    <t>Xu, Y., Guo, Z., Ding, Y., Wang, Q., Sui, L., Zhou, G., Hu, W. Extracellular DNA-mediated Differential Bystander Effects Induced by FLASH or Conventional Proton Radiation. Radiation Research. 2025. doi:10.1667/RADE-24-00012.1.</t>
  </si>
  <si>
    <t>Luo, H., Yang, C., Vozenin, M.-C., Mao, R., Ma, L., Lei, H., Ge, H. FLASH irradiation-induced acute lung injury promotes metastatic colonization via neutrophil extracellular trap formation. Medical Physics. 2025. doi:10.1002/mp.70054.</t>
  </si>
  <si>
    <t>Kuipers, M.E., van Liefferinge, F., van der Wal, E., Rovituso, M., Slats, A.M., Hiemstra, P.S., Van Doorn-Wink, K.C.J. Effect of FLASH proton therapy on primary bronchial epithelial cell organoids. Clinical and Translational Radiation Oncology. 2025. doi:10.1016/j.ctro.2025.100927.</t>
  </si>
  <si>
    <t>Melemenidis, S., Viswanathan, V., Dutt, S., Kapadia, N., Lau, B., Soto, L.A., Ashraf, M.R., Thakur, B., Mutahar, A.Z.I., Skinner, L.B., Yu, A.S., Surucu, M., Casey, K.M., Rankin, E.B., Horst, K.C., Graves, E.E., Loo, B.W., Dirbas, F.M. Effectiveness of FLASH vs. Conventional Dose Rate Radiotherapy in a Model of Orthotopic, Murine Breast Cancer. Cancers. 2025. doi:10.3390/cancers17071095.</t>
  </si>
  <si>
    <t>Minami, K., Yagi, M., Fujita, K., Nagata, K., Hidani, R., Hamatani, N., Tsubouchi, T., Takashina, M., Umezawa, M., Nomura, T., Shimizu, M., Kuwana, Y., Fujimoto, J., Shimizu, S., Ogawa, K. The Appropriate Conditions for the Cell Sparing (FLASH) Effect Exist in Ultra‐high Dose Rate Carbon Ion Irradiation. Anticancer Research. 2025. doi:10.21873/anticanres.17483.</t>
  </si>
  <si>
    <t>Li, M., Zhang, L., Gao, A., Xu, J., Wang, X., Liu, X., Yan, D., Zou, D., Wu, S., Sun, B., Dong, G., Wang, C. Molecular mechanisms of lung injury from ultra high and conventional dose rate pulsed radiation based on 4D DIA proteomics study. Scientific reports. 2025. doi:10.1038/s41598-025-87247-6.</t>
  </si>
  <si>
    <t>Ford, N.L., Ren, X., Egoriti, L., Esplen, N., Radel, S., Humphries, B., Koay, H.-W., Planche, T., Hoehr, C., Gottberg, A., Bazalova-Carter, M. Respiratory-gated micro-computed tomography imaging to measure radiation-induced lung injuries in mice following ultra-high dose-rate and conventional dose-rate radiation therapy. Journal of Medical Imaging. 2025. doi:10.1117/1.JMI.12.1.014002.</t>
  </si>
  <si>
    <t>Del Debbio, F., Bertilacchi, M.S., Cavalieri, A., Gadducci, G., Giannini, N., Gonnelli, A., Zanacchi, F.C., Noferi, B., Catanzariti, A., De Felice, M., Giacomelli, C., Di Martino, F., Martini, C., Da Pozzo, E., Paiar, F., Capaccioli, S. Mitigating the side effects of conventional radiotherapy: deep examination of the FLASH effect on human healthy bronchial epithelial cell line. Cancer Treatment and Research Communications. 2025. doi:10.1016/j.ctarc.2025.100961.</t>
  </si>
  <si>
    <t>Chen, Z., Hu, F., Xiang, J., Zhou, X., Wu, B., Fan, B., Tang, H., Liu, B., Chen, L. Mesoporous Microneedles Enabled Localized Controllable Delivery of Stimulator of Interferon Gene Agonist Nanoexosomes for FLASH Radioimmunotherapy against Breast Cancer. ACS applied materials &amp; interfaces. 2024. doi:10.1021/acsami.4c09833.</t>
  </si>
  <si>
    <t>Portier, L., Daira, P., Fourmaux, B., Heinrich, S., Becerra, M., Fouillade, C., Berthault, N., Dutreix, M., Londoño-Vallejo, A., Verrelle, P., Bernoud-Hubac, N., Favaudon, V. Differential Remodeling of the Oxylipin Pool After FLASH Versus Conventional Dose-Rate Irradiation In Vitro and In Vivo. International Journal of Radiation Oncology Biology Physics. 2024. doi:10.1016/j.ijrobp.2024.01.210.</t>
  </si>
  <si>
    <t>Kim, K., Kim, M.M., Skoufos, G., Diffenderfer, E.S., Motlagh, S.A.O., Kokkorakis, M., Koliaki, I., Morcos, G., Shoniyozov, K., Griffin, J., Hatzigeorgiou, A.G., Metz, J.M., Lin, A., Feigenberg, S.J., Cengel, K.A., Ky, B., Koumenis, C., Verginadis, I.I. FLASH Proton Radiation Therapy Mitigates Inflammatory and Fibrotic Pathways and Preserves Cardiac Function in a Preclinical Mouse Model of Radiation-Induced Heart Disease. International Journal of Radiation Oncology Biology Physics. 2024. doi:10.1016/j.ijrobp.2024.01.224.</t>
  </si>
  <si>
    <t>Franciosini, G., Carlotti, D., Cattani, F., De Gregorio, A., De Liso, V., De Rosa, F., Di Francesco, M., Di Martino, F., Felici, G., Pensavalle, J.H., Leonardi, M.C., Marafini, M., Muscato, A., Paiar, F., Patera, V., Poortmans, P., Sciubba, A., Schiavi, A., Toppi, M., Traini, G., Trigilio, A., Sarti, A. IOeRT conventional and FLASH treatment planning system implementation exploiting fast GPU Monte Carlo: The case of breast cancer. Physica Medica. 2024. doi:10.1016/j.ejmp.2024.103346.</t>
  </si>
  <si>
    <t>Sesink, A., Becerra, M., Ruan, J.-L., Leboucher, S., Dubail, M., Heinrich, S., Jdey, W., Petersson, K., Fouillade, C., Berthault, N., Dutreix, M., Girard, P.-M. The AsiDNA™ decoy mimicking DSBs protects the normal tissue from radiation toxicity through a DNA-PK/p53/p21-dependent G1/S arrest. NAR Cancer. 2024. doi:10.1093/narcan/zcae011.</t>
  </si>
  <si>
    <t>Zieliński, M., Lenartowicz-Gasik, A., Misiarz, A., Rzadkiewicz, J., Kocik, J. Comparison of conventional versus ultra-high dose rate radiotherapy in MCF-7 and MCF-12A human breast cells: analysis of DNA damage response proteins. Current Topics in Peptide and Protein Research. 2024. doi:10.31300/ctppr.25.2024.1-12.</t>
  </si>
  <si>
    <t>Dubail, M., Heinrich, S., Portier, L., Bastian, J., Giuliano, L., Aggar, L., Berthault, N., Londoño-Vallejo, J.-A., Vilalta, M., Boivin, G., Sharma, R.A., Dutreix, M., Fouillade, C. Lung Organotypic Slices Enable Rapid Quantification of Acute Radiotherapy Induced Toxicity. Cells. 2023. doi:10.3390/cells12202435.</t>
  </si>
  <si>
    <t>Lattery, G., Kaulfers, T., Cheng, C., Zhao, X., Selvaraj, B., Lin, H., Simone, C.B., Choi, J.I., Chang, J., Kang, M. Pencil Beam Scanning Bragg Peak FLASH Technique for Ultra-High Dose Rate Intensity-Modulated Proton Therapy in Early-Stage Breast Cancer Treatment. Cancers. 2023. doi:10.3390/cancers15184560.</t>
  </si>
  <si>
    <t>van Marlen, P., van de Water, S., Dahele, M., Slotman, B.J., Verbakel, W.F.A.R. Single Ultra-High Dose Rate Proton Transmission Beam for Whole Breast FLASH-Irradiation: Quantification of FLASH-Dose and Relation with Beam Parameters. Cancers. 2023. doi:10.3390/cancers15092579.</t>
  </si>
  <si>
    <t>Dai, Y., Liang, R., Wang, J., Zhang, J., Wu, D., Zhao, R., Liu, Z., Chen, F. Fractionated FLASH radiation in xenografted lung tumors induced FLASH effect at a split dose of 2 Gy. International journal of radiation biology. 2023. doi:10.1080/09553002.2023.2194403.</t>
  </si>
  <si>
    <t>Zhu, H., Xie, D., Wang, Y., Huang, R., Chen, X., Yang, Y., Wang, B., Peng, Y., Wang, J., Xiao, D., Wu, D., Qian, C.-N., Deng, X. Comparison of intratumor and local immune response between MV X-ray FLASH and conventional radiotherapies. Clinical and Translational Radiation Oncology. 2023. doi:10.1016/j.ctro.2022.11.005.</t>
  </si>
  <si>
    <t>Sørensen, B.S., Sitarz, M.K., Ankjærgaard, C., Johansen, J.G., Andersen, C.E., Kanouta, E., Grau, C., Poulsen, P. Pencil beam scanning proton FLASH maintains tumor control while normal tissue damage is reduced in a mouse model. Radiotherapy and Oncology. 2022. doi:10.1016/j.radonc.2022.05.014.</t>
  </si>
  <si>
    <t>Guo, Z., Buonanno, M., Harken, A., Zhou, G., Hei, T.K. Mitochondrial Damage Response and Fate of Normal Cells Exposed to FLASH Irradiation with Protons. Radiation Research. 2022. doi:10.1667/RADE-21-00181.1.</t>
  </si>
  <si>
    <t>Tashiro, M., Yoshida, Y., Oike, T., Nakao, M., Yusa, K., Hirota, Y., Ohno, T. First Human Cell Experiments with FLASH Carbon Ions. Anticancer Research. 2022. doi:10.21873/anticanres.15725.</t>
  </si>
  <si>
    <t>Romano, M., Bravin, A., Wright, M.D., Jacques, L., Miettinen, A., Hlushchuk, R., Dinkel, J., Bartzsch, S., Laissue, J.A., Djonov, V., Coan, P. X-Ray Phase Contrast 3D Virtual Histology: Evaluation of Lung Alterations After Microbeam Irradiation. International Journal of Radiation Oncology Biology Physics. 2021. doi:10.1016/j.ijrobp.2021.10.009.</t>
  </si>
  <si>
    <t>Gao, F., Yang, Y., Zhu, H., Wang, J., Xiao, D., Zhou, Z., Dai, T., Zhang, Y., Feng, G., Li, J., Lin, B., Xie, G., Ke, Q., Zhou, K., Li, P., Shen, X., Wang, H., Yan, L., Lao, C., Shan, L., Li, M., Lu, Y., Chen, M., Feng, S., Zhao, J., Wu, D., Du, X. First demonstration of the FLASH effect with ultrahigh dose rate high-energy X-rays. Radiotherapy and Oncology. 2022. doi:10.1016/j.radonc.2021.11.004.</t>
  </si>
  <si>
    <t>Adrian, G., Konradsson, E., Beyer, S., Wittrup, A., Butterworth, K.T., McMahon, S.J., Ghita, M., Petersson, K., Ceberg, C. Cancer Cells Can Exhibit a Sparing FLASH Effect at Low Doses Under Normoxic In Vitro-Conditions. Frontiers in Oncology. 2021. doi:10.3389/fonc.2021.686142.</t>
  </si>
  <si>
    <t>Soto, L.A., Casey, K.M., Wang, J., Blaney, A., Manjappa, R., Breitkreutz, D., Skinner, L., Dutt, S., Ko, R.B., Bush, K., Yu, A.S., Melemenidis, S., Strober, S., Englemann, E., Maxim, P.G., Graves, E.E., Loo, B.W. Flash irradiation results in reduced severe skin toxicity compared to conventional-dose-rate irradiation. Radiation Research. 2020. doi:10.1667/RADE-20-00090.</t>
  </si>
  <si>
    <t>Venkatesulu, B.P., Sharma, A., Pollard-Larkin, J.M., Sadagopan, R., Symons, J., Neri, S., Singh, P.K., Tailor, R., Lin, S.H., Krishnan, S. Ultra high dose rate (35 Gy/sec) radiation does not spare the normal tissue in cardiac and splenic models of lymphopenia and gastrointestinal syndrome. Scientific reports. 2019. doi:10.1038/s41598-019-53562-y.</t>
  </si>
  <si>
    <t>Gao, F., Lin, B., Yang, Y., Xiao, D., Zhou, Z., Zhang, Y., Feng, G., Li, J., Wu, D., Du, X., Shi, Q. Effects of ultra-high dose rate radiotherapy with different fractions and dose rate on acute and chronic lung injury in mice. Heliyon. 2024. doi:10.1016/j.heliyon.2024.e40298.</t>
  </si>
  <si>
    <t>Engels, E., Forrester, H., Klein, M., Bell, C., Balderstone, I., Brunt, K., Barnes, M.J., Cameron, M., Crosbie, J.C., Middleton, R., Fernandez-Palomo, C., Dietler, B.D.B., Trappetti, V., Fazzari, J.M., Hausermann, D., Anderson, R.L., Djonov, V.G., Martin, O.A. The Impact of Synchrotron Microbeam Radiation Therapy Combined With Broad Beam in a Preclinical Breast Cancer Model. Advances in Radiation Oncology. 2025. doi:10.1016/j.adro.2024.101680.</t>
  </si>
  <si>
    <t>Lenartowicz-Gasik, A., Osuchowska, P., Misiarz, A., Soroka, W., Trafny, E.A., Mierczyk, Z., Rzadkiewicz, J. IORT AQURE IN FLASH MODE: DOSIMETRIC CONTROL IN BREAST CANCER CELL IN VITRO EXPERIMENTS. Metrology and Measurement Systems. 2025. doi:10.24425/mms.2025.155811.</t>
  </si>
  <si>
    <t>Li, C., Tan, L., Liu, Q., Li, Z., Li, M., Yang, X., Dong, G., Quan, C., Ping, J., Wang, C., Lu, H. Early Fibroblast Remodeling Associated with Lung Tissue Preservation After FLASH Irradiation. Phenomics. 2026. doi:10.1007/s43657-026-00343-z.</t>
  </si>
  <si>
    <t>Author-described conventional/standard comparators were retained regardless of numerical dose rate. For synthesis, comparator strata were assigned only to eligible direct biological FLASH/UHDR-versus-CONV comparisons as ≤0.2 Gy/s, &gt;0.2 Gy/s, mixed, or not numerically resolved. Reports in which the eligible breast/thoracic experiment lacked a matched conventional comparator were coded “No eligible direct comparator” and excluded from the 45-report comparator-dose-rate denominator. Reconciled direct-comparator strata (n=45): ≤0.2 Gy/s, 25; &gt;0.2 Gy/s, 18; mixed, 1; not numerically resolved, 1. The remaining 13 reports were outside this denominator.</t>
  </si>
  <si>
    <t>Orthotopic A549-Luc human lung adenocarcinoma in nude mice (n=5/irradiation arm), 24-h normal-lung/tumor scRNA-seq</t>
  </si>
  <si>
    <t>9-MeV electrons FLASH vs 6-MeV photons CONV (modality mismatch)</t>
  </si>
  <si>
    <t>15 Gy × 1; FLASH 1,100 Gy/s; CONV 0.1 Gy/s; 20 × 20 mm field; depth 4 mm</t>
  </si>
  <si>
    <t>At 24 h, FLASH showed favorable normal-lung epithelial oxidative-stress, apoptosis and mitochondrial transcriptional signatures; no functional lung-injury or late fibrosis endpoint.</t>
  </si>
  <si>
    <t>Primary S17 experiment in orthotopic A549-Luc nude mice; no explicitly shared animal dataset identified in article; molecular outcome only.</t>
  </si>
  <si>
    <t>Lung (normal lung molecular response; tumor-bearing orthotopic A549 model)</t>
  </si>
  <si>
    <t>Primary full-text article, Guo et al., Radiation Research 2026, 205:374–385; DOI 10.1667/RADE-25-00125</t>
  </si>
  <si>
    <t>China; Peking University First Hospital; Zhongjiu Flash Medical Technology; Institute of Applied Electronics, CAEP</t>
  </si>
  <si>
    <t>Nude mice with orthotopic human A549-Luc lung adenocarcinoma xenografts</t>
  </si>
  <si>
    <t>Not specified in the article for sex/age</t>
  </si>
  <si>
    <t>A549-Luc human lung adenocarcinoma; 1 × 10^6 cells/100 µL injected intrapulmonarily into left lung; orthotopic tumors confirmed at ~4 weeks</t>
  </si>
  <si>
    <t>n=5 per irradiation arm (FLASH, CONV); sham/control group n not explicitly specified</t>
  </si>
  <si>
    <t>Orthotopic left-lung tumor-bearing thorax, 20 × 20 mm field; target depth 4 mm; contralateral right-lung normal parenchyma analyzed</t>
  </si>
  <si>
    <t>No thoracic-skin outcome evaluated</t>
  </si>
  <si>
    <t>FLASH: 9-MeV electrons (CAEP FLASH platform); CONV: 6-MeV photons (Elekta Precise LINAC); modalities differ</t>
  </si>
  <si>
    <t>15 Gy × 1</t>
  </si>
  <si>
    <t>1,100 Gy/s (experimental Table 1); platform capability elsewhere described as 250 Gy/s—do not conflate with experimental setting</t>
  </si>
  <si>
    <t>Not reported for experimental treatment</t>
  </si>
  <si>
    <t>Not reported for experimental treatment (15 Gy/1,100 Gy/s ≈ 13.6 ms is calculated, not author-reported)</t>
  </si>
  <si>
    <t>20 × 20 mm field; 4 mm target depth; electron FLASH beam from CAEP platform; orthotopic left-lung tumor</t>
  </si>
  <si>
    <t>Conventional RT with clinical 6-MeV photon beam (Elekta Precise), 0.1 Gy/s</t>
  </si>
  <si>
    <t>Yes (15 Gy in both groups)</t>
  </si>
  <si>
    <t>No; FLASH 9-MeV electrons vs CONV 6-MeV photons</t>
  </si>
  <si>
    <t>Modality and beam energy mismatched: 9-MeV electron FLASH vs 6-MeV photon CONV; platform average 250 Gy/s differs from applied Table 1 value 1,100 Gy/s; pulse microstructure not specified</t>
  </si>
  <si>
    <t>24 h post-irradiation (tumor tissue scRNA-seq); no longitudinal tumor control endpoint</t>
  </si>
  <si>
    <t>Early tumor gene-expression pathways suggest different cell stress and apoptosis responses; long-term tumor-control equivalence not experimentally established</t>
  </si>
  <si>
    <t>24 h post-irradiation</t>
  </si>
  <si>
    <t>Differential molecular/pathway findings (e.g., Fig. 2 and 3); not a direct histologic or physiological lung-injury measurement</t>
  </si>
  <si>
    <t>Normal-lung epithelial cells after FLASH showed lower hypoxia/apoptosis-related scores, reduced oxidative-stress response and preservation of mitochondrial/antioxidant gene expression (Prdx1/2, Cct4/7, Ndufc1/Ndufab1); 24-h molecular surrogate only.</t>
  </si>
  <si>
    <t>Lung tissue single-cell immune cell composition; NK- and B-cell-related gene modules; not a circulating hematologic endpoint</t>
  </si>
  <si>
    <t>Molecularly favorable local immune signature in normal lung; not a direct systemic immune-sparing endpoint</t>
  </si>
  <si>
    <t>Prdx1, Prdx2, Cct4, Cct7, Ndufc1, Ndufab1; PTEN, DUSP16, RB1CC1 (tumor)</t>
  </si>
  <si>
    <t>10x Genomics Chromium single-cell 3′ RNA-seq; Illumina NovaSeq 6000; Cell Ranger 7.1.0; Seurat 3.0; GO/KEGG/Reactome, GSEA, Monocle</t>
  </si>
  <si>
    <t>No shared cohort demonstrated from the published article; not proof of cohort independence across all reports</t>
  </si>
  <si>
    <t>No linked included study conclusively identified from this publication</t>
  </si>
  <si>
    <t>Separate study report; molecular outcome interpreted at report level; no indication of a reused cohort in the primary text</t>
  </si>
  <si>
    <t>Primary paper describes newly established A549-Luc xenografts and 24-h scRNA-seq; no explicit reuse of an included report’s animals was identified. Do not count this as a late lung-fibrosis endpoint.</t>
  </si>
  <si>
    <t>Nude T-cell-deficient mice; FLASH electron vs CONV photon modality mismatch; single early 24-h scRNA-seq time point; no lung histology/function/fibrosis or longitudinal tumor response; pulse microstructure not specified.</t>
  </si>
  <si>
    <t>Moderate (mechanistic/transcriptomic evidence; limited comparability due to beam modality mismatch)</t>
  </si>
  <si>
    <t>Primary full text confirms matched nominal dose (15 Gy) and sample size (n=5/arm), but different electron and photon modalities and lack of direct functional lung-injury endpoints limit certainty.</t>
  </si>
  <si>
    <t>In nude mice bearing orthotopic A549-Luc lung tumors, FLASH was associated with early normal-lung epithelial redox and mitochondrial preservation relative to CONV, with mechanistic rather than functional injury endpoints.</t>
  </si>
  <si>
    <t>Normal-lung scRNA-seq at 24 h: lower epithelial hypoxia/apoptosis scores and enhanced antioxidant/mitochondrial transcripts after FLASH vs CONV; modality-mismatched comparison.</t>
  </si>
  <si>
    <t>15 Gy × 1; n=5/irradiation arm; FLASH 1,100 Gy/s electron vs CONV 0.1 Gy/s photon; 24 h; reported DEG epithelial counts: 929 upregulated and 290 downregulated in FLASH vs CONV (Fig. 3A).</t>
  </si>
  <si>
    <t>GraphPad Prism 5.01: ANOVA with Bonferroni multiple-comparison test; unpaired t-test following Shapiro–Wilk normality assessment; p&lt;0.05; experiments repeated at least three times.</t>
  </si>
  <si>
    <t>Full article and supplementary material reviewed (12 Oct 2026); irradiation parameters verified against Methods and Supplementary Table S1.</t>
  </si>
  <si>
    <t>Methods report Shapiro–Wilk normality testing; one-way ANOVA with Bonferroni or Dunn multiple-comparison procedures, and Student t-test or Mann–Whitney U for two-group analyses, according to distribution (P ≤ 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</si>
</sst>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name val="Carlito"/>
    </font>
    <font>
      <b/>
      <sz val="12"/>
      <color rgb="FFFFFFFF"/>
      <name val="Arial"/>
      <family val="2"/>
    </font>
    <font>
      <sz val="12"/>
      <name val="Arial"/>
      <family val="2"/>
    </font>
    <font>
      <b/>
      <sz val="12"/>
      <color rgb="FF17365D"/>
      <name val="Arial"/>
      <family val="2"/>
    </font>
    <font>
      <sz val="12"/>
      <color rgb="FF1F1F1F"/>
      <name val="Arial"/>
      <family val="2"/>
    </font>
    <font>
      <sz val="11"/>
      <color theme="10"/>
      <name val="Carlito"/>
    </font>
  </fonts>
  <fills count="5">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8">
    <xf numFmtId="0" fontId="0" fillId="0" borderId="0" xfId="0"/>
    <xf numFmtId="0" fontId="2" fillId="0" borderId="0" xfId="0" applyFont="1"/>
    <xf numFmtId="0" fontId="1" fillId="4" borderId="0" xfId="0" applyFont="1" applyFill="1" applyAlignment="1">
      <alignment horizontal="center" vertical="center" wrapText="1"/>
    </xf>
    <xf numFmtId="0" fontId="4" fillId="0" borderId="0" xfId="0" applyFont="1" applyAlignment="1">
      <alignment vertical="top" wrapText="1"/>
    </xf>
    <xf numFmtId="164" fontId="4" fillId="0" borderId="0" xfId="0" applyNumberFormat="1" applyFont="1" applyAlignment="1">
      <alignment vertical="top" wrapText="1"/>
    </xf>
    <xf numFmtId="0" fontId="5" fillId="0" borderId="0" xfId="1" applyAlignment="1">
      <alignment vertical="top" wrapText="1"/>
    </xf>
    <xf numFmtId="0" fontId="1" fillId="2" borderId="0" xfId="0" applyFont="1" applyFill="1" applyAlignment="1">
      <alignment horizontal="center" vertical="center"/>
    </xf>
    <xf numFmtId="0" fontId="3" fillId="3" borderId="0" xfId="0" applyFont="1" applyFill="1" applyAlignment="1">
      <alignment horizontal="center" vertical="center"/>
    </xf>
  </cellXfs>
  <cellStyles count="2">
    <cellStyle name="Hyperlink" xfId="1" xr:uid="{00000000-0005-0000-0000-000000000000}"/>
    <cellStyle name="Normal" xfId="0" builtinId="0"/>
  </cellStyles>
  <dxfs count="116">
    <dxf>
      <font>
        <b/>
        <color rgb="FF274E13"/>
      </font>
      <fill>
        <patternFill>
          <bgColor rgb="FFD9EAD3"/>
        </patternFill>
      </fill>
    </dxf>
    <dxf>
      <font>
        <b/>
        <color rgb="FF274E13"/>
      </font>
      <fill>
        <patternFill>
          <bgColor rgb="FFD9EAD3"/>
        </patternFill>
      </fill>
    </dxf>
    <dxf>
      <font>
        <b/>
        <color rgb="FF274E13"/>
      </font>
      <fill>
        <patternFill>
          <bgColor rgb="FFD9EAD3"/>
        </patternFill>
      </fill>
    </dxf>
    <dxf>
      <font>
        <b/>
        <color rgb="FF274E13"/>
      </font>
      <fill>
        <patternFill>
          <bgColor rgb="FFD9EAD3"/>
        </patternFill>
      </fill>
    </dxf>
    <dxf>
      <font>
        <b/>
        <color rgb="FF274E13"/>
      </font>
      <fill>
        <patternFill>
          <bgColor rgb="FFD9EAD3"/>
        </patternFill>
      </fill>
    </dxf>
    <dxf>
      <font>
        <b/>
        <color rgb="FF274E13"/>
      </font>
      <fill>
        <patternFill>
          <bgColor rgb="FFD9EAD3"/>
        </patternFill>
      </fill>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
      <font>
        <u val="none"/>
        <sz val="12"/>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videnceLedgerTable" displayName="EvidenceLedgerTable" ref="A1:M59" totalsRowShown="0" dataDxfId="115">
  <tableColumns count="13">
    <tableColumn id="1" xr3:uid="{00000000-0010-0000-0000-000001000000}" name="Study ID" dataDxfId="114"/>
    <tableColumn id="2" xr3:uid="{00000000-0010-0000-0000-000002000000}" name="Study" dataDxfId="113"/>
    <tableColumn id="3" xr3:uid="{00000000-0010-0000-0000-000003000000}" name="Year" dataDxfId="112"/>
    <tableColumn id="4" xr3:uid="{00000000-0010-0000-0000-000004000000}" name="DOI" dataDxfId="111"/>
    <tableColumn id="5" xr3:uid="{00000000-0010-0000-0000-000005000000}" name="DOI URL" dataDxfId="110"/>
    <tableColumn id="6" xr3:uid="{00000000-0010-0000-0000-000006000000}" name="Domain(s)" dataDxfId="109"/>
    <tableColumn id="7" xr3:uid="{00000000-0010-0000-0000-000007000000}" name="Design/model" dataDxfId="108"/>
    <tableColumn id="8" xr3:uid="{00000000-0010-0000-0000-000008000000}" name="Modality" dataDxfId="107"/>
    <tableColumn id="9" xr3:uid="{00000000-0010-0000-0000-000009000000}" name="FLASH regimen" dataDxfId="106"/>
    <tableColumn id="10" xr3:uid="{00000000-0010-0000-0000-00000A000000}" name="Comparator stratum" dataDxfId="105"/>
    <tableColumn id="11" xr3:uid="{00000000-0010-0000-0000-00000B000000}" name="Outcome direction" dataDxfId="104"/>
    <tableColumn id="12" xr3:uid="{00000000-0010-0000-0000-00000C000000}" name="Key result / interpretation" dataDxfId="103"/>
    <tableColumn id="13" xr3:uid="{00000000-0010-0000-0000-00000D000000}" name="Overlap adjudication" dataDxfId="10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ullExtractionTable" displayName="FullExtractionTable" ref="A1:CC59" totalsRowShown="0" dataDxfId="101">
  <tableColumns count="81">
    <tableColumn id="1" xr3:uid="{00000000-0010-0000-0100-000001000000}" name="Study ID" dataDxfId="100"/>
    <tableColumn id="2" xr3:uid="{00000000-0010-0000-0100-000002000000}" name="Internal Covidence #" dataDxfId="99"/>
    <tableColumn id="3" xr3:uid="{00000000-0010-0000-0100-000003000000}" name="Study" dataDxfId="98"/>
    <tableColumn id="4" xr3:uid="{00000000-0010-0000-0100-000004000000}" name="Title" dataDxfId="97"/>
    <tableColumn id="5" xr3:uid="{00000000-0010-0000-0100-000005000000}" name="Year" dataDxfId="96"/>
    <tableColumn id="6" xr3:uid="{00000000-0010-0000-0100-000006000000}" name="DOI" dataDxfId="95"/>
    <tableColumn id="7" xr3:uid="{00000000-0010-0000-0100-000007000000}" name="Journal" dataDxfId="94"/>
    <tableColumn id="8" xr3:uid="{00000000-0010-0000-0100-000008000000}" name="Authors" dataDxfId="93"/>
    <tableColumn id="9" xr3:uid="{00000000-0010-0000-0100-000009000000}" name="Extraction status" dataDxfId="92"/>
    <tableColumn id="10" xr3:uid="{00000000-0010-0000-0100-00000A000000}" name="Verification status" dataDxfId="91"/>
    <tableColumn id="11" xr3:uid="{00000000-0010-0000-0100-00000B000000}" name="Evidence domain(s)" dataDxfId="90"/>
    <tableColumn id="12" xr3:uid="{00000000-0010-0000-0100-00000C000000}" name="Study evidence type" dataDxfId="89"/>
    <tableColumn id="13" xr3:uid="{00000000-0010-0000-0100-00000D000000}" name="Source basis" dataDxfId="88"/>
    <tableColumn id="14" xr3:uid="{00000000-0010-0000-0100-00000E000000}" name="Source URL" dataDxfId="87"/>
    <tableColumn id="15" xr3:uid="{00000000-0010-0000-0100-00000F000000}" name="First author" dataDxfId="86"/>
    <tableColumn id="16" xr3:uid="{00000000-0010-0000-0100-000010000000}" name="Country/institution" dataDxfId="85"/>
    <tableColumn id="17" xr3:uid="{00000000-0010-0000-0100-000011000000}" name="Experimental setting" dataDxfId="84"/>
    <tableColumn id="18" xr3:uid="{00000000-0010-0000-0100-000012000000}" name="Species / strain" dataDxfId="83"/>
    <tableColumn id="19" xr3:uid="{00000000-0010-0000-0100-000013000000}" name="Sex/age" dataDxfId="82"/>
    <tableColumn id="20" xr3:uid="{00000000-0010-0000-0100-000014000000}" name="Tumor model/cell line" dataDxfId="81"/>
    <tableColumn id="21" xr3:uid="{00000000-0010-0000-0100-000015000000}" name="Sample size per arm" dataDxfId="80"/>
    <tableColumn id="22" xr3:uid="{00000000-0010-0000-0100-000016000000}" name="Irradiated anatomical field" dataDxfId="79"/>
    <tableColumn id="23" xr3:uid="{00000000-0010-0000-0100-000017000000}" name="Thoracic-field skin?" dataDxfId="78"/>
    <tableColumn id="24" xr3:uid="{00000000-0010-0000-0100-000018000000}" name="Radiation modality" dataDxfId="77"/>
    <tableColumn id="25" xr3:uid="{00000000-0010-0000-0100-000019000000}" name="FLASH total dose (Gy)" dataDxfId="76"/>
    <tableColumn id="26" xr3:uid="{00000000-0010-0000-0100-00001A000000}" name="FLASH average dose rate (Gy/s)" dataDxfId="75"/>
    <tableColumn id="27" xr3:uid="{00000000-0010-0000-0100-00001B000000}" name="Dose per pulse (Gy/pulse)" dataDxfId="74"/>
    <tableColumn id="28" xr3:uid="{00000000-0010-0000-0100-00001C000000}" name="Pulse width" dataDxfId="73"/>
    <tableColumn id="29" xr3:uid="{00000000-0010-0000-0100-00001D000000}" name="Pulse repetition frequency (Hz)" dataDxfId="72"/>
    <tableColumn id="30" xr3:uid="{00000000-0010-0000-0100-00001E000000}" name="Irradiation time" dataDxfId="71"/>
    <tableColumn id="31" xr3:uid="{00000000-0010-0000-0100-00001F000000}" name="Number of fractions" dataDxfId="70"/>
    <tableColumn id="32" xr3:uid="{00000000-0010-0000-0100-000020000000}" name="Field size / beam arrangement" dataDxfId="69"/>
    <tableColumn id="33" xr3:uid="{00000000-0010-0000-0100-000021000000}" name="Comparator present?" dataDxfId="68"/>
    <tableColumn id="34" xr3:uid="{00000000-0010-0000-0100-000022000000}" name="Authors’ comparator description" dataDxfId="67"/>
    <tableColumn id="35" xr3:uid="{00000000-0010-0000-0100-000023000000}" name="CONV total dose (Gy)" dataDxfId="66"/>
    <tableColumn id="36" xr3:uid="{00000000-0010-0000-0100-000024000000}" name="CONV dose rate (Gy/s)" dataDxfId="65"/>
    <tableColumn id="37" xr3:uid="{00000000-0010-0000-0100-000025000000}" name="Comparator category" dataDxfId="64"/>
    <tableColumn id="38" xr3:uid="{00000000-0010-0000-0100-000026000000}" name="Same total dose as FLASH?" dataDxfId="63"/>
    <tableColumn id="39" xr3:uid="{00000000-0010-0000-0100-000027000000}" name="Same radiation modality?" dataDxfId="62"/>
    <tableColumn id="40" xr3:uid="{00000000-0010-0000-0100-000028000000}" name="Other major beam differences" dataDxfId="61"/>
    <tableColumn id="41" xr3:uid="{00000000-0010-0000-0100-000029000000}" name="Tumor outcomes assessed" dataDxfId="60"/>
    <tableColumn id="42" xr3:uid="{00000000-0010-0000-0100-00002A000000}" name="Overall tumor effect FLASH vs CONV" dataDxfId="59"/>
    <tableColumn id="43" xr3:uid="{00000000-0010-0000-0100-00002B000000}" name="Statistically significant tumor difference?" dataDxfId="58"/>
    <tableColumn id="44" xr3:uid="{00000000-0010-0000-0100-00002C000000}" name="Main tumor result/effect estimate" dataDxfId="57"/>
    <tableColumn id="45" xr3:uid="{00000000-0010-0000-0100-00002D000000}" name="Tumor endpoint time point(s)" dataDxfId="56"/>
    <tableColumn id="46" xr3:uid="{00000000-0010-0000-0100-00002E000000}" name="Tumor control maintained with FLASH?" dataDxfId="55"/>
    <tableColumn id="47" xr3:uid="{00000000-0010-0000-0100-00002F000000}" name="Authors’ conclusion regarding tumor efficacy" dataDxfId="54"/>
    <tableColumn id="48" xr3:uid="{00000000-0010-0000-0100-000030000000}" name="Normal-tissue outcomes assessed" dataDxfId="53"/>
    <tableColumn id="49" xr3:uid="{00000000-0010-0000-0100-000031000000}" name="Lung endpoint(s)" dataDxfId="52"/>
    <tableColumn id="50" xr3:uid="{00000000-0010-0000-0100-000032000000}" name="Lung assessment time point(s)" dataDxfId="51"/>
    <tableColumn id="51" xr3:uid="{00000000-0010-0000-0100-000033000000}" name="Overall lung effect FLASH vs CONV" dataDxfId="50"/>
    <tableColumn id="52" xr3:uid="{00000000-0010-0000-0100-000034000000}" name="Statistically significant lung difference?" dataDxfId="49"/>
    <tableColumn id="53" xr3:uid="{00000000-0010-0000-0100-000035000000}" name="Main lung result/effect estimate" dataDxfId="48"/>
    <tableColumn id="54" xr3:uid="{00000000-0010-0000-0100-000036000000}" name="Heart/cardiac endpoint(s)" dataDxfId="47"/>
    <tableColumn id="55" xr3:uid="{00000000-0010-0000-0100-000037000000}" name="Overall heart effect FLASH vs CONV" dataDxfId="46"/>
    <tableColumn id="56" xr3:uid="{00000000-0010-0000-0100-000038000000}" name="Thoracic skin endpoint(s)" dataDxfId="45"/>
    <tableColumn id="57" xr3:uid="{00000000-0010-0000-0100-000039000000}" name="Overall thoracic-skin effect FLASH vs CONV" dataDxfId="44"/>
    <tableColumn id="58" xr3:uid="{00000000-0010-0000-0100-00003A000000}" name="Thoracic immune/hematologic endpoint(s)" dataDxfId="43"/>
    <tableColumn id="59" xr3:uid="{00000000-0010-0000-0100-00003B000000}" name="Overall immune/hematologic effect FLASH vs CONV" dataDxfId="42"/>
    <tableColumn id="60" xr3:uid="{00000000-0010-0000-0100-00003C000000}" name="Mechanistic pathways assessed" dataDxfId="41"/>
    <tableColumn id="61" xr3:uid="{00000000-0010-0000-0100-00003D000000}" name="Key mechanistic finding" dataDxfId="40"/>
    <tableColumn id="62" xr3:uid="{00000000-0010-0000-0100-00003E000000}" name="Mechanistic direction favors FLASH sparing?" dataDxfId="39"/>
    <tableColumn id="63" xr3:uid="{00000000-0010-0000-0100-00003F000000}" name="Mechanism directly demonstrated or inferred?" dataDxfId="38"/>
    <tableColumn id="64" xr3:uid="{00000000-0010-0000-0100-000040000000}" name="Relevant molecular markers/genes/proteins" dataDxfId="37"/>
    <tableColumn id="65" xr3:uid="{00000000-0010-0000-0100-000041000000}" name="Assay/platform used" dataDxfId="36"/>
    <tableColumn id="66" xr3:uid="{00000000-0010-0000-0100-000042000000}" name="Mechanistic time point(s)" dataDxfId="35"/>
    <tableColumn id="67" xr3:uid="{00000000-0010-0000-0100-000043000000}" name="Linked / overlapping cohort?" dataDxfId="34"/>
    <tableColumn id="68" xr3:uid="{00000000-0010-0000-0100-000044000000}" name="Linked study ID(s)" dataDxfId="33"/>
    <tableColumn id="69" xr3:uid="{00000000-0010-0000-0100-000045000000}" name="Count as independent cohort for this outcome?" dataDxfId="32"/>
    <tableColumn id="70" xr3:uid="{00000000-0010-0000-0100-000046000000}" name="Publication overlap/data reuse note" dataDxfId="31"/>
    <tableColumn id="71" xr3:uid="{00000000-0010-0000-0100-000047000000}" name="Overall direction of evidence" dataDxfId="30"/>
    <tableColumn id="72" xr3:uid="{00000000-0010-0000-0100-000048000000}" name="Major study limitations" dataDxfId="29"/>
    <tableColumn id="73" xr3:uid="{00000000-0010-0000-0100-000049000000}" name="Relevant for formal biological synthesis?" dataDxfId="28"/>
    <tableColumn id="74" xr3:uid="{00000000-0010-0000-0100-00004A000000}" name="Relevant for planning/translational synthesis?" dataDxfId="27"/>
    <tableColumn id="75" xr3:uid="{00000000-0010-0000-0100-00004B000000}" name="Study quality/confidence" dataDxfId="26"/>
    <tableColumn id="76" xr3:uid="{00000000-0010-0000-0100-00004C000000}" name="Reason for quality/confidence rating" dataDxfId="25"/>
    <tableColumn id="77" xr3:uid="{00000000-0010-0000-0100-00004D000000}" name="One-sentence study conclusion" dataDxfId="24"/>
    <tableColumn id="78" xr3:uid="{00000000-0010-0000-0100-00004E000000}" name="Key result to cite in manuscript" dataDxfId="23"/>
    <tableColumn id="79" xr3:uid="{00000000-0010-0000-0100-00004F000000}" name="Key numerical result / P value / effect estimate" dataDxfId="22"/>
    <tableColumn id="80" xr3:uid="{00000000-0010-0000-0100-000050000000}" name="Statistical analysis/test used" dataDxfId="21"/>
    <tableColumn id="82" xr3:uid="{00000000-0010-0000-0100-000052000000}" name="Standardized mechanistic theme(s)" dataDxf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echanisticThemeCodingTable" displayName="MechanisticThemeCodingTable" ref="A10:I68" totalsRowShown="0" dataDxfId="19">
  <tableColumns count="9">
    <tableColumn id="1" xr3:uid="{00000000-0010-0000-0200-000001000000}" name="Study ID" dataDxfId="18"/>
    <tableColumn id="2" xr3:uid="{00000000-0010-0000-0200-000002000000}" name="Study" dataDxfId="17"/>
    <tableColumn id="3" xr3:uid="{00000000-0010-0000-0200-000003000000}" name="Mechanistic pathways assessed" dataDxfId="16"/>
    <tableColumn id="4" xr3:uid="{00000000-0010-0000-0200-000004000000}" name="ROS/redox/oxygen" dataDxfId="15"/>
    <tableColumn id="5" xr3:uid="{00000000-0010-0000-0200-000005000000}" name="Immune/inflammatory" dataDxfId="14"/>
    <tableColumn id="6" xr3:uid="{00000000-0010-0000-0200-000006000000}" name="DNA damage/sensing" dataDxfId="13"/>
    <tableColumn id="7" xr3:uid="{00000000-0010-0000-0200-000007000000}" name="Cell death/senescence/cycle" dataDxfId="12"/>
    <tableColumn id="8" xr3:uid="{00000000-0010-0000-0200-000008000000}" name="Fibrosis/TGF-β/remodeling" dataDxfId="11"/>
    <tableColumn id="9" xr3:uid="{00000000-0010-0000-0200-000009000000}" name="Mitochondrial/metabolism" data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ferencesTable" displayName="ReferencesTable" ref="A1:C59" totalsRowShown="0" dataDxfId="9">
  <tableColumns count="3">
    <tableColumn id="1" xr3:uid="{00000000-0010-0000-0300-000001000000}" name="Study ID" dataDxfId="8"/>
    <tableColumn id="2" xr3:uid="{00000000-0010-0000-0300-000002000000}" name="Full citation" dataDxfId="7"/>
    <tableColumn id="3" xr3:uid="{00000000-0010-0000-0300-000003000000}" name="DOI URL" dataDxfId="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hyperlink" Target="https://doi.org/10.1042/cs20257640" TargetMode="External"/><Relationship Id="rId1" Type="http://schemas.openxmlformats.org/officeDocument/2006/relationships/hyperlink" Target="https://doi.org/10.1093/bjr/tqag0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
  <sheetViews>
    <sheetView workbookViewId="0">
      <selection sqref="A1:F1"/>
    </sheetView>
  </sheetViews>
  <sheetFormatPr baseColWidth="10" defaultColWidth="8.83203125" defaultRowHeight="14"/>
  <cols>
    <col min="1" max="1" width="24" customWidth="1"/>
    <col min="2" max="2" width="68" customWidth="1"/>
    <col min="4" max="4" width="32" customWidth="1"/>
    <col min="5" max="6" width="12" customWidth="1"/>
  </cols>
  <sheetData>
    <row r="1" spans="1:14" ht="16">
      <c r="A1" s="6" t="s">
        <v>0</v>
      </c>
      <c r="B1" s="6"/>
      <c r="C1" s="6"/>
      <c r="D1" s="6"/>
      <c r="E1" s="6"/>
      <c r="F1" s="6"/>
      <c r="G1" s="1"/>
      <c r="H1" s="1"/>
      <c r="I1" s="1"/>
      <c r="J1" s="1"/>
      <c r="K1" s="1"/>
      <c r="L1" s="1"/>
      <c r="M1" s="1"/>
      <c r="N1" s="1"/>
    </row>
    <row r="2" spans="1:14" ht="16">
      <c r="A2" s="7" t="s">
        <v>1</v>
      </c>
      <c r="B2" s="7"/>
      <c r="C2" s="7"/>
      <c r="D2" s="7"/>
      <c r="E2" s="7"/>
      <c r="F2" s="7"/>
      <c r="G2" s="1"/>
      <c r="H2" s="1"/>
      <c r="I2" s="1"/>
      <c r="J2" s="1"/>
      <c r="K2" s="1"/>
      <c r="L2" s="1"/>
      <c r="M2" s="1"/>
      <c r="N2" s="1"/>
    </row>
    <row r="3" spans="1:14" ht="16">
      <c r="A3" s="1"/>
      <c r="B3" s="1"/>
      <c r="C3" s="1"/>
      <c r="D3" s="1"/>
      <c r="E3" s="1"/>
      <c r="F3" s="1"/>
      <c r="G3" s="1"/>
      <c r="H3" s="1"/>
      <c r="I3" s="1"/>
      <c r="J3" s="1"/>
      <c r="K3" s="1"/>
      <c r="L3" s="1"/>
      <c r="M3" s="1"/>
      <c r="N3" s="1"/>
    </row>
    <row r="4" spans="1:14" ht="17">
      <c r="A4" s="2" t="s">
        <v>2</v>
      </c>
      <c r="B4" s="2" t="s">
        <v>3</v>
      </c>
      <c r="C4" s="1"/>
      <c r="D4" s="2" t="s">
        <v>4</v>
      </c>
      <c r="E4" s="2" t="s">
        <v>5</v>
      </c>
      <c r="F4" s="2" t="s">
        <v>6</v>
      </c>
      <c r="G4" s="1"/>
      <c r="H4" s="1"/>
      <c r="I4" s="1"/>
      <c r="J4" s="1"/>
      <c r="K4" s="1"/>
      <c r="L4" s="1"/>
      <c r="M4" s="1"/>
      <c r="N4" s="1"/>
    </row>
    <row r="5" spans="1:14" ht="51">
      <c r="A5" s="3" t="s">
        <v>7</v>
      </c>
      <c r="B5" s="3" t="s">
        <v>8</v>
      </c>
      <c r="C5" s="1"/>
      <c r="D5" s="3" t="s">
        <v>9</v>
      </c>
      <c r="E5" s="3">
        <f>'Mechanistic Theme Audit'!B3</f>
        <v>17</v>
      </c>
      <c r="F5" s="4">
        <f>'Mechanistic Theme Audit'!C3</f>
        <v>0.29310344827586204</v>
      </c>
      <c r="G5" s="1"/>
      <c r="H5" s="1"/>
      <c r="I5" s="1"/>
      <c r="J5" s="1"/>
      <c r="K5" s="1"/>
      <c r="L5" s="1"/>
      <c r="M5" s="1"/>
      <c r="N5" s="1"/>
    </row>
    <row r="6" spans="1:14" ht="68">
      <c r="A6" s="3" t="s">
        <v>10</v>
      </c>
      <c r="B6" s="3" t="s">
        <v>11</v>
      </c>
      <c r="C6" s="1"/>
      <c r="D6" s="3" t="s">
        <v>12</v>
      </c>
      <c r="E6" s="3">
        <f>'Mechanistic Theme Audit'!B4</f>
        <v>23</v>
      </c>
      <c r="F6" s="4">
        <f>'Mechanistic Theme Audit'!C4</f>
        <v>0.39655172413793105</v>
      </c>
      <c r="G6" s="1"/>
      <c r="H6" s="1"/>
      <c r="I6" s="1"/>
      <c r="J6" s="1"/>
      <c r="K6" s="1"/>
      <c r="L6" s="1"/>
      <c r="M6" s="1"/>
      <c r="N6" s="1"/>
    </row>
    <row r="7" spans="1:14" ht="51">
      <c r="A7" s="3" t="s">
        <v>13</v>
      </c>
      <c r="B7" s="3" t="s">
        <v>14</v>
      </c>
      <c r="C7" s="1"/>
      <c r="D7" s="3" t="s">
        <v>15</v>
      </c>
      <c r="E7" s="3">
        <f>'Mechanistic Theme Audit'!B5</f>
        <v>18</v>
      </c>
      <c r="F7" s="4">
        <f>'Mechanistic Theme Audit'!C5</f>
        <v>0.31034482758620691</v>
      </c>
      <c r="G7" s="1"/>
      <c r="H7" s="1"/>
      <c r="I7" s="1"/>
      <c r="J7" s="1"/>
      <c r="K7" s="1"/>
      <c r="L7" s="1"/>
      <c r="M7" s="1"/>
      <c r="N7" s="1"/>
    </row>
    <row r="8" spans="1:14" ht="234.75" customHeight="1">
      <c r="A8" s="3" t="s">
        <v>16</v>
      </c>
      <c r="B8" s="3" t="s">
        <v>3130</v>
      </c>
      <c r="C8" s="1"/>
      <c r="D8" s="3" t="s">
        <v>17</v>
      </c>
      <c r="E8" s="3">
        <f>'Mechanistic Theme Audit'!B6</f>
        <v>20</v>
      </c>
      <c r="F8" s="4">
        <f>'Mechanistic Theme Audit'!C6</f>
        <v>0.34482758620689657</v>
      </c>
      <c r="G8" s="1"/>
      <c r="H8" s="1"/>
      <c r="I8" s="1"/>
      <c r="J8" s="1"/>
      <c r="K8" s="1"/>
      <c r="L8" s="1"/>
      <c r="M8" s="1"/>
      <c r="N8" s="1"/>
    </row>
    <row r="9" spans="1:14" ht="51">
      <c r="A9" s="3" t="s">
        <v>18</v>
      </c>
      <c r="B9" s="3" t="s">
        <v>19</v>
      </c>
      <c r="C9" s="1"/>
      <c r="D9" s="3" t="s">
        <v>20</v>
      </c>
      <c r="E9" s="3">
        <f>'Mechanistic Theme Audit'!B7</f>
        <v>14</v>
      </c>
      <c r="F9" s="4">
        <f>'Mechanistic Theme Audit'!C7</f>
        <v>0.2413793103448276</v>
      </c>
      <c r="G9" s="1"/>
      <c r="H9" s="1"/>
      <c r="I9" s="1"/>
      <c r="J9" s="1"/>
      <c r="K9" s="1"/>
      <c r="L9" s="1"/>
      <c r="M9" s="1"/>
      <c r="N9" s="1"/>
    </row>
    <row r="10" spans="1:14" ht="51">
      <c r="A10" s="3" t="s">
        <v>21</v>
      </c>
      <c r="B10" s="3" t="s">
        <v>22</v>
      </c>
      <c r="C10" s="1"/>
      <c r="D10" s="3" t="s">
        <v>23</v>
      </c>
      <c r="E10" s="3">
        <f>'Mechanistic Theme Audit'!B8</f>
        <v>10</v>
      </c>
      <c r="F10" s="4">
        <f>'Mechanistic Theme Audit'!C8</f>
        <v>0.17241379310344829</v>
      </c>
      <c r="G10" s="1"/>
      <c r="H10" s="1"/>
      <c r="I10" s="1"/>
      <c r="J10" s="1"/>
      <c r="K10" s="1"/>
      <c r="L10" s="1"/>
      <c r="M10" s="1"/>
      <c r="N10" s="1"/>
    </row>
    <row r="11" spans="1:14" ht="51">
      <c r="A11" s="3" t="s">
        <v>24</v>
      </c>
      <c r="B11" s="3" t="s">
        <v>25</v>
      </c>
      <c r="C11" s="1"/>
      <c r="D11" s="1"/>
      <c r="E11" s="1"/>
      <c r="F11" s="1"/>
      <c r="G11" s="1"/>
      <c r="H11" s="1"/>
      <c r="I11" s="1"/>
      <c r="J11" s="1"/>
      <c r="K11" s="1"/>
      <c r="L11" s="1"/>
      <c r="M11" s="1"/>
      <c r="N11" s="1"/>
    </row>
    <row r="12" spans="1:14" ht="51">
      <c r="A12" s="3" t="s">
        <v>26</v>
      </c>
      <c r="B12" s="3" t="s">
        <v>27</v>
      </c>
      <c r="C12" s="1"/>
      <c r="D12" s="1"/>
      <c r="E12" s="1"/>
      <c r="F12" s="1"/>
      <c r="G12" s="1"/>
      <c r="H12" s="1"/>
      <c r="I12" s="1"/>
      <c r="J12" s="1"/>
      <c r="K12" s="1"/>
      <c r="L12" s="1"/>
      <c r="M12" s="1"/>
      <c r="N12" s="1"/>
    </row>
    <row r="13" spans="1:14" ht="51">
      <c r="A13" s="3" t="s">
        <v>28</v>
      </c>
      <c r="B13" s="3" t="s">
        <v>29</v>
      </c>
      <c r="C13" s="1"/>
      <c r="D13" s="1"/>
      <c r="E13" s="1"/>
      <c r="F13" s="1"/>
      <c r="G13" s="1"/>
      <c r="H13" s="1"/>
      <c r="I13" s="1"/>
      <c r="J13" s="1"/>
      <c r="K13" s="1"/>
      <c r="L13" s="1"/>
      <c r="M13" s="1"/>
      <c r="N13" s="1"/>
    </row>
    <row r="14" spans="1:14" ht="17">
      <c r="A14" s="3" t="s">
        <v>30</v>
      </c>
      <c r="B14" s="3" t="s">
        <v>31</v>
      </c>
      <c r="C14" s="1"/>
      <c r="D14" s="1"/>
      <c r="E14" s="1"/>
      <c r="F14" s="1"/>
      <c r="G14" s="1"/>
      <c r="H14" s="1"/>
      <c r="I14" s="1"/>
      <c r="J14" s="1"/>
      <c r="K14" s="1"/>
      <c r="L14" s="1"/>
      <c r="M14" s="1"/>
      <c r="N14" s="1"/>
    </row>
    <row r="15" spans="1:14" ht="68">
      <c r="A15" s="3" t="s">
        <v>32</v>
      </c>
      <c r="B15" s="3" t="s">
        <v>33</v>
      </c>
      <c r="C15" s="1"/>
      <c r="D15" s="1"/>
      <c r="E15" s="1"/>
      <c r="F15" s="1"/>
      <c r="G15" s="1"/>
      <c r="H15" s="1"/>
      <c r="I15" s="1"/>
      <c r="J15" s="1"/>
      <c r="K15" s="1"/>
      <c r="L15" s="1"/>
      <c r="M15" s="1"/>
      <c r="N15" s="1"/>
    </row>
    <row r="16" spans="1:14" ht="16">
      <c r="A16" s="1"/>
      <c r="B16" s="1"/>
      <c r="C16" s="1"/>
      <c r="D16" s="1"/>
      <c r="E16" s="1"/>
      <c r="F16" s="1"/>
      <c r="G16" s="1"/>
      <c r="H16" s="1"/>
      <c r="I16" s="1"/>
      <c r="J16" s="1"/>
      <c r="K16" s="1"/>
      <c r="L16" s="1"/>
      <c r="M16" s="1"/>
      <c r="N16" s="1"/>
    </row>
    <row r="17" spans="1:14" ht="16">
      <c r="A17" s="1"/>
      <c r="B17" s="1"/>
      <c r="C17" s="1"/>
      <c r="D17" s="1"/>
      <c r="E17" s="1"/>
      <c r="F17" s="1"/>
      <c r="G17" s="1"/>
      <c r="H17" s="1"/>
      <c r="I17" s="1"/>
      <c r="J17" s="1"/>
      <c r="K17" s="1"/>
      <c r="L17" s="1"/>
      <c r="M17" s="1"/>
      <c r="N17" s="1"/>
    </row>
    <row r="18" spans="1:14" ht="16">
      <c r="A18" s="1"/>
      <c r="B18" s="1"/>
      <c r="C18" s="1"/>
      <c r="D18" s="1"/>
      <c r="E18" s="1"/>
      <c r="F18" s="1"/>
      <c r="G18" s="1"/>
      <c r="H18" s="1"/>
      <c r="I18" s="1"/>
      <c r="J18" s="1"/>
      <c r="K18" s="1"/>
      <c r="L18" s="1"/>
      <c r="M18" s="1"/>
      <c r="N18" s="1"/>
    </row>
    <row r="19" spans="1:14" ht="16">
      <c r="A19" s="1"/>
      <c r="B19" s="1"/>
      <c r="C19" s="1"/>
      <c r="D19" s="1"/>
      <c r="E19" s="1"/>
      <c r="F19" s="1"/>
      <c r="G19" s="1"/>
      <c r="H19" s="1"/>
      <c r="I19" s="1"/>
      <c r="J19" s="1"/>
      <c r="K19" s="1"/>
      <c r="L19" s="1"/>
      <c r="M19" s="1"/>
      <c r="N19" s="1"/>
    </row>
    <row r="20" spans="1:14" ht="16">
      <c r="A20" s="1"/>
      <c r="B20" s="1"/>
      <c r="C20" s="1"/>
      <c r="D20" s="1"/>
      <c r="E20" s="1"/>
      <c r="F20" s="1"/>
      <c r="G20" s="1"/>
      <c r="H20" s="1"/>
      <c r="I20" s="1"/>
      <c r="J20" s="1"/>
      <c r="K20" s="1"/>
      <c r="L20" s="1"/>
      <c r="M20" s="1"/>
      <c r="N20" s="1"/>
    </row>
    <row r="21" spans="1:14" ht="16">
      <c r="A21" s="1"/>
      <c r="B21" s="1"/>
      <c r="C21" s="1"/>
      <c r="D21" s="1"/>
      <c r="E21" s="1"/>
      <c r="F21" s="1"/>
      <c r="G21" s="1"/>
      <c r="H21" s="1"/>
      <c r="I21" s="1"/>
      <c r="J21" s="1"/>
      <c r="K21" s="1"/>
      <c r="L21" s="1"/>
      <c r="M21" s="1"/>
      <c r="N21" s="1"/>
    </row>
    <row r="22" spans="1:14" ht="16">
      <c r="A22" s="1"/>
      <c r="B22" s="1"/>
      <c r="C22" s="1"/>
      <c r="D22" s="1"/>
      <c r="E22" s="1"/>
      <c r="F22" s="1"/>
      <c r="G22" s="1"/>
      <c r="H22" s="1"/>
      <c r="I22" s="1"/>
      <c r="J22" s="1"/>
      <c r="K22" s="1"/>
      <c r="L22" s="1"/>
      <c r="M22" s="1"/>
      <c r="N22" s="1"/>
    </row>
    <row r="23" spans="1:14" ht="16">
      <c r="A23" s="1"/>
      <c r="B23" s="1"/>
      <c r="C23" s="1"/>
      <c r="D23" s="1"/>
      <c r="E23" s="1"/>
      <c r="F23" s="1"/>
      <c r="G23" s="1"/>
      <c r="H23" s="1"/>
      <c r="I23" s="1"/>
      <c r="J23" s="1"/>
      <c r="K23" s="1"/>
      <c r="L23" s="1"/>
      <c r="M23" s="1"/>
      <c r="N23" s="1"/>
    </row>
    <row r="24" spans="1:14" ht="16">
      <c r="A24" s="1"/>
      <c r="B24" s="1"/>
      <c r="C24" s="1"/>
      <c r="D24" s="1"/>
      <c r="E24" s="1"/>
      <c r="F24" s="1"/>
      <c r="G24" s="1"/>
      <c r="H24" s="1"/>
      <c r="I24" s="1"/>
      <c r="J24" s="1"/>
      <c r="K24" s="1"/>
      <c r="L24" s="1"/>
      <c r="M24" s="1"/>
      <c r="N24" s="1"/>
    </row>
    <row r="25" spans="1:14" ht="16">
      <c r="A25" s="1"/>
      <c r="B25" s="1"/>
      <c r="C25" s="1"/>
      <c r="D25" s="1"/>
      <c r="E25" s="1"/>
      <c r="F25" s="1"/>
      <c r="G25" s="1"/>
      <c r="H25" s="1"/>
      <c r="I25" s="1"/>
      <c r="J25" s="1"/>
      <c r="K25" s="1"/>
      <c r="L25" s="1"/>
      <c r="M25" s="1"/>
      <c r="N25" s="1"/>
    </row>
    <row r="26" spans="1:14" ht="16">
      <c r="A26" s="1"/>
      <c r="B26" s="1"/>
      <c r="C26" s="1"/>
      <c r="D26" s="1"/>
      <c r="E26" s="1"/>
      <c r="F26" s="1"/>
      <c r="G26" s="1"/>
      <c r="H26" s="1"/>
      <c r="I26" s="1"/>
      <c r="J26" s="1"/>
      <c r="K26" s="1"/>
      <c r="L26" s="1"/>
      <c r="M26" s="1"/>
      <c r="N26" s="1"/>
    </row>
    <row r="27" spans="1:14" ht="16">
      <c r="A27" s="1"/>
      <c r="B27" s="1"/>
      <c r="C27" s="1"/>
      <c r="D27" s="1"/>
      <c r="E27" s="1"/>
      <c r="F27" s="1"/>
      <c r="G27" s="1"/>
      <c r="H27" s="1"/>
      <c r="I27" s="1"/>
      <c r="J27" s="1"/>
      <c r="K27" s="1"/>
      <c r="L27" s="1"/>
      <c r="M27" s="1"/>
      <c r="N27" s="1"/>
    </row>
    <row r="28" spans="1:14" ht="16">
      <c r="A28" s="1"/>
      <c r="B28" s="1"/>
      <c r="C28" s="1"/>
      <c r="D28" s="1"/>
      <c r="E28" s="1"/>
      <c r="F28" s="1"/>
      <c r="G28" s="1"/>
      <c r="H28" s="1"/>
      <c r="I28" s="1"/>
      <c r="J28" s="1"/>
      <c r="K28" s="1"/>
      <c r="L28" s="1"/>
      <c r="M28" s="1"/>
      <c r="N28" s="1"/>
    </row>
  </sheetData>
  <mergeCells count="2">
    <mergeCell ref="A1:F1"/>
    <mergeCell ref="A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9"/>
  <sheetViews>
    <sheetView workbookViewId="0"/>
  </sheetViews>
  <sheetFormatPr baseColWidth="10" defaultColWidth="8.83203125" defaultRowHeight="16"/>
  <cols>
    <col min="1" max="1" width="9" style="1" customWidth="1"/>
    <col min="2" max="2" width="22" style="1" customWidth="1"/>
    <col min="3" max="3" width="8" style="1" customWidth="1"/>
    <col min="4" max="4" width="30" style="1" customWidth="1"/>
    <col min="5" max="5" width="34" style="1" customWidth="1"/>
    <col min="6" max="6" width="30" style="1" customWidth="1"/>
    <col min="7" max="7" width="42" style="1" customWidth="1"/>
    <col min="8" max="8" width="20" style="1" customWidth="1"/>
    <col min="9" max="9" width="42" style="1" customWidth="1"/>
    <col min="10" max="10" width="24" style="1" customWidth="1"/>
    <col min="11" max="11" width="42" style="1" customWidth="1"/>
    <col min="12" max="12" width="50" style="1" customWidth="1"/>
    <col min="13" max="13" width="36" style="1" customWidth="1"/>
  </cols>
  <sheetData>
    <row r="1" spans="1:13" ht="34">
      <c r="A1" s="2" t="s">
        <v>34</v>
      </c>
      <c r="B1" s="2" t="s">
        <v>35</v>
      </c>
      <c r="C1" s="2" t="s">
        <v>36</v>
      </c>
      <c r="D1" s="2" t="s">
        <v>37</v>
      </c>
      <c r="E1" s="2" t="s">
        <v>38</v>
      </c>
      <c r="F1" s="2" t="s">
        <v>39</v>
      </c>
      <c r="G1" s="2" t="s">
        <v>40</v>
      </c>
      <c r="H1" s="2" t="s">
        <v>41</v>
      </c>
      <c r="I1" s="2" t="s">
        <v>42</v>
      </c>
      <c r="J1" s="2" t="s">
        <v>43</v>
      </c>
      <c r="K1" s="2" t="s">
        <v>44</v>
      </c>
      <c r="L1" s="2" t="s">
        <v>45</v>
      </c>
      <c r="M1" s="2" t="s">
        <v>46</v>
      </c>
    </row>
    <row r="2" spans="1:13" ht="68">
      <c r="A2" s="3" t="s">
        <v>47</v>
      </c>
      <c r="B2" s="3" t="s">
        <v>48</v>
      </c>
      <c r="C2" s="3">
        <v>2014</v>
      </c>
      <c r="D2" s="3" t="s">
        <v>49</v>
      </c>
      <c r="E2" s="3" t="s">
        <v>50</v>
      </c>
      <c r="F2" s="3" t="s">
        <v>51</v>
      </c>
      <c r="G2" s="3" t="s">
        <v>52</v>
      </c>
      <c r="H2" s="3" t="s">
        <v>53</v>
      </c>
      <c r="I2" s="3" t="s">
        <v>54</v>
      </c>
      <c r="J2" s="3" t="s">
        <v>55</v>
      </c>
      <c r="K2" s="3" t="s">
        <v>56</v>
      </c>
      <c r="L2" s="3" t="s">
        <v>57</v>
      </c>
      <c r="M2" s="3" t="s">
        <v>58</v>
      </c>
    </row>
    <row r="3" spans="1:13" ht="51">
      <c r="A3" s="3" t="s">
        <v>59</v>
      </c>
      <c r="B3" s="3" t="s">
        <v>60</v>
      </c>
      <c r="C3" s="3">
        <v>2025</v>
      </c>
      <c r="D3" s="3" t="s">
        <v>61</v>
      </c>
      <c r="E3" s="3" t="s">
        <v>62</v>
      </c>
      <c r="F3" s="3" t="s">
        <v>63</v>
      </c>
      <c r="G3" s="3" t="s">
        <v>64</v>
      </c>
      <c r="H3" s="3" t="s">
        <v>65</v>
      </c>
      <c r="I3" s="3" t="s">
        <v>66</v>
      </c>
      <c r="J3" s="3" t="s">
        <v>67</v>
      </c>
      <c r="K3" s="3" t="s">
        <v>68</v>
      </c>
      <c r="L3" s="3" t="s">
        <v>69</v>
      </c>
      <c r="M3" s="3" t="s">
        <v>70</v>
      </c>
    </row>
    <row r="4" spans="1:13" ht="51">
      <c r="A4" s="3" t="s">
        <v>71</v>
      </c>
      <c r="B4" s="3" t="s">
        <v>72</v>
      </c>
      <c r="C4" s="3">
        <v>2025</v>
      </c>
      <c r="D4" s="3" t="s">
        <v>73</v>
      </c>
      <c r="E4" s="3" t="s">
        <v>74</v>
      </c>
      <c r="F4" s="3" t="s">
        <v>75</v>
      </c>
      <c r="G4" s="3" t="s">
        <v>76</v>
      </c>
      <c r="H4" s="3" t="s">
        <v>65</v>
      </c>
      <c r="I4" s="3" t="s">
        <v>77</v>
      </c>
      <c r="J4" s="3" t="s">
        <v>55</v>
      </c>
      <c r="K4" s="3" t="s">
        <v>78</v>
      </c>
      <c r="L4" s="3" t="s">
        <v>79</v>
      </c>
      <c r="M4" s="3" t="s">
        <v>58</v>
      </c>
    </row>
    <row r="5" spans="1:13" ht="102">
      <c r="A5" s="3" t="s">
        <v>80</v>
      </c>
      <c r="B5" s="3" t="s">
        <v>81</v>
      </c>
      <c r="C5" s="3">
        <v>2020</v>
      </c>
      <c r="D5" s="3" t="s">
        <v>82</v>
      </c>
      <c r="E5" s="3" t="s">
        <v>83</v>
      </c>
      <c r="F5" s="3" t="s">
        <v>84</v>
      </c>
      <c r="G5" s="3" t="s">
        <v>85</v>
      </c>
      <c r="H5" s="3" t="s">
        <v>65</v>
      </c>
      <c r="I5" s="3" t="s">
        <v>86</v>
      </c>
      <c r="J5" s="3" t="s">
        <v>55</v>
      </c>
      <c r="K5" s="3" t="s">
        <v>87</v>
      </c>
      <c r="L5" s="3" t="s">
        <v>88</v>
      </c>
      <c r="M5" s="3" t="s">
        <v>58</v>
      </c>
    </row>
    <row r="6" spans="1:13" ht="51">
      <c r="A6" s="3" t="s">
        <v>89</v>
      </c>
      <c r="B6" s="3" t="s">
        <v>90</v>
      </c>
      <c r="C6" s="3">
        <v>2021</v>
      </c>
      <c r="D6" s="3" t="s">
        <v>91</v>
      </c>
      <c r="E6" s="3" t="s">
        <v>92</v>
      </c>
      <c r="F6" s="3" t="s">
        <v>93</v>
      </c>
      <c r="G6" s="3" t="s">
        <v>94</v>
      </c>
      <c r="H6" s="3" t="s">
        <v>95</v>
      </c>
      <c r="I6" s="3" t="s">
        <v>96</v>
      </c>
      <c r="J6" s="3" t="s">
        <v>55</v>
      </c>
      <c r="K6" s="3" t="s">
        <v>97</v>
      </c>
      <c r="L6" s="3" t="s">
        <v>98</v>
      </c>
      <c r="M6" s="3" t="s">
        <v>58</v>
      </c>
    </row>
    <row r="7" spans="1:13" ht="51">
      <c r="A7" s="3" t="s">
        <v>99</v>
      </c>
      <c r="B7" s="3" t="s">
        <v>100</v>
      </c>
      <c r="C7" s="3">
        <v>2026</v>
      </c>
      <c r="D7" s="3" t="s">
        <v>101</v>
      </c>
      <c r="E7" s="3" t="s">
        <v>102</v>
      </c>
      <c r="F7" s="3" t="s">
        <v>103</v>
      </c>
      <c r="G7" s="3" t="s">
        <v>104</v>
      </c>
      <c r="H7" s="3" t="s">
        <v>65</v>
      </c>
      <c r="I7" s="3" t="s">
        <v>105</v>
      </c>
      <c r="J7" s="3" t="s">
        <v>55</v>
      </c>
      <c r="K7" s="3" t="s">
        <v>106</v>
      </c>
      <c r="L7" s="3" t="s">
        <v>107</v>
      </c>
      <c r="M7" s="3" t="s">
        <v>58</v>
      </c>
    </row>
    <row r="8" spans="1:13" ht="34">
      <c r="A8" s="3" t="s">
        <v>108</v>
      </c>
      <c r="B8" s="3" t="s">
        <v>60</v>
      </c>
      <c r="C8" s="3">
        <v>2026</v>
      </c>
      <c r="D8" s="3" t="s">
        <v>109</v>
      </c>
      <c r="E8" s="3" t="s">
        <v>110</v>
      </c>
      <c r="F8" s="3" t="s">
        <v>75</v>
      </c>
      <c r="G8" s="3" t="s">
        <v>111</v>
      </c>
      <c r="H8" s="3" t="s">
        <v>65</v>
      </c>
      <c r="I8" s="3" t="s">
        <v>112</v>
      </c>
      <c r="J8" s="3" t="s">
        <v>67</v>
      </c>
      <c r="K8" s="3" t="s">
        <v>113</v>
      </c>
      <c r="L8" s="3" t="s">
        <v>114</v>
      </c>
      <c r="M8" s="3" t="s">
        <v>58</v>
      </c>
    </row>
    <row r="9" spans="1:13" ht="34">
      <c r="A9" s="3" t="s">
        <v>115</v>
      </c>
      <c r="B9" s="3" t="s">
        <v>116</v>
      </c>
      <c r="C9" s="3">
        <v>2026</v>
      </c>
      <c r="D9" s="3" t="s">
        <v>117</v>
      </c>
      <c r="E9" s="3" t="s">
        <v>118</v>
      </c>
      <c r="F9" s="3" t="s">
        <v>93</v>
      </c>
      <c r="G9" s="3" t="s">
        <v>119</v>
      </c>
      <c r="H9" s="3" t="s">
        <v>120</v>
      </c>
      <c r="I9" s="3" t="s">
        <v>121</v>
      </c>
      <c r="J9" s="3" t="s">
        <v>55</v>
      </c>
      <c r="K9" s="3" t="s">
        <v>122</v>
      </c>
      <c r="L9" s="3" t="s">
        <v>123</v>
      </c>
      <c r="M9" s="3" t="s">
        <v>58</v>
      </c>
    </row>
    <row r="10" spans="1:13" ht="85">
      <c r="A10" s="3" t="s">
        <v>124</v>
      </c>
      <c r="B10" s="3" t="s">
        <v>125</v>
      </c>
      <c r="C10" s="3">
        <v>2026</v>
      </c>
      <c r="D10" s="3" t="s">
        <v>126</v>
      </c>
      <c r="E10" s="3" t="s">
        <v>127</v>
      </c>
      <c r="F10" s="3" t="s">
        <v>84</v>
      </c>
      <c r="G10" s="3" t="s">
        <v>128</v>
      </c>
      <c r="H10" s="3" t="s">
        <v>65</v>
      </c>
      <c r="I10" s="3" t="s">
        <v>129</v>
      </c>
      <c r="J10" s="3" t="s">
        <v>67</v>
      </c>
      <c r="K10" s="3" t="s">
        <v>87</v>
      </c>
      <c r="L10" s="3" t="s">
        <v>130</v>
      </c>
      <c r="M10" s="3" t="s">
        <v>131</v>
      </c>
    </row>
    <row r="11" spans="1:13" ht="68">
      <c r="A11" s="3" t="s">
        <v>132</v>
      </c>
      <c r="B11" s="3" t="s">
        <v>133</v>
      </c>
      <c r="C11" s="3">
        <v>2026</v>
      </c>
      <c r="D11" s="3" t="s">
        <v>134</v>
      </c>
      <c r="E11" s="3" t="s">
        <v>135</v>
      </c>
      <c r="F11" s="3" t="s">
        <v>93</v>
      </c>
      <c r="G11" s="3" t="s">
        <v>136</v>
      </c>
      <c r="H11" s="3" t="s">
        <v>137</v>
      </c>
      <c r="I11" s="3" t="s">
        <v>138</v>
      </c>
      <c r="J11" s="3" t="s">
        <v>67</v>
      </c>
      <c r="K11" s="3" t="s">
        <v>139</v>
      </c>
      <c r="L11" s="3" t="s">
        <v>140</v>
      </c>
      <c r="M11" s="3" t="s">
        <v>131</v>
      </c>
    </row>
    <row r="12" spans="1:13" ht="51">
      <c r="A12" s="3" t="s">
        <v>141</v>
      </c>
      <c r="B12" s="3" t="s">
        <v>125</v>
      </c>
      <c r="C12" s="3">
        <v>2026</v>
      </c>
      <c r="D12" s="3" t="s">
        <v>142</v>
      </c>
      <c r="E12" s="3" t="s">
        <v>143</v>
      </c>
      <c r="F12" s="3" t="s">
        <v>144</v>
      </c>
      <c r="G12" s="3" t="s">
        <v>145</v>
      </c>
      <c r="H12" s="3" t="s">
        <v>65</v>
      </c>
      <c r="I12" s="3" t="s">
        <v>146</v>
      </c>
      <c r="J12" s="3" t="s">
        <v>55</v>
      </c>
      <c r="K12" s="3" t="s">
        <v>147</v>
      </c>
      <c r="L12" s="3" t="s">
        <v>148</v>
      </c>
      <c r="M12" s="3" t="s">
        <v>149</v>
      </c>
    </row>
    <row r="13" spans="1:13" ht="51">
      <c r="A13" s="3" t="s">
        <v>150</v>
      </c>
      <c r="B13" s="3" t="s">
        <v>151</v>
      </c>
      <c r="C13" s="3">
        <v>2026</v>
      </c>
      <c r="D13" s="3" t="s">
        <v>152</v>
      </c>
      <c r="E13" s="3" t="s">
        <v>153</v>
      </c>
      <c r="F13" s="3" t="s">
        <v>93</v>
      </c>
      <c r="G13" s="3" t="s">
        <v>154</v>
      </c>
      <c r="H13" s="3" t="s">
        <v>155</v>
      </c>
      <c r="I13" s="3" t="s">
        <v>156</v>
      </c>
      <c r="J13" s="3" t="s">
        <v>55</v>
      </c>
      <c r="K13" s="3" t="s">
        <v>157</v>
      </c>
      <c r="L13" s="3" t="s">
        <v>158</v>
      </c>
      <c r="M13" s="3" t="s">
        <v>149</v>
      </c>
    </row>
    <row r="14" spans="1:13" ht="102">
      <c r="A14" s="3" t="s">
        <v>159</v>
      </c>
      <c r="B14" s="3" t="s">
        <v>160</v>
      </c>
      <c r="C14" s="3">
        <v>2026</v>
      </c>
      <c r="D14" s="3" t="s">
        <v>161</v>
      </c>
      <c r="E14" s="3" t="s">
        <v>162</v>
      </c>
      <c r="F14" s="3" t="s">
        <v>84</v>
      </c>
      <c r="G14" s="3" t="s">
        <v>163</v>
      </c>
      <c r="H14" s="3" t="s">
        <v>120</v>
      </c>
      <c r="I14" s="3" t="s">
        <v>164</v>
      </c>
      <c r="J14" s="3" t="s">
        <v>55</v>
      </c>
      <c r="K14" s="3" t="s">
        <v>157</v>
      </c>
      <c r="L14" s="3" t="s">
        <v>165</v>
      </c>
      <c r="M14" s="3" t="s">
        <v>58</v>
      </c>
    </row>
    <row r="15" spans="1:13" ht="51">
      <c r="A15" s="3" t="s">
        <v>166</v>
      </c>
      <c r="B15" s="3" t="s">
        <v>167</v>
      </c>
      <c r="C15" s="3">
        <v>2026</v>
      </c>
      <c r="D15" s="3" t="s">
        <v>168</v>
      </c>
      <c r="E15" s="3" t="s">
        <v>169</v>
      </c>
      <c r="F15" s="3" t="s">
        <v>75</v>
      </c>
      <c r="G15" s="3" t="s">
        <v>170</v>
      </c>
      <c r="H15" s="3" t="s">
        <v>120</v>
      </c>
      <c r="I15" s="3" t="s">
        <v>171</v>
      </c>
      <c r="J15" s="3" t="s">
        <v>172</v>
      </c>
      <c r="K15" s="3" t="s">
        <v>173</v>
      </c>
      <c r="L15" s="3" t="s">
        <v>174</v>
      </c>
      <c r="M15" s="3" t="s">
        <v>58</v>
      </c>
    </row>
    <row r="16" spans="1:13" ht="85">
      <c r="A16" s="3" t="s">
        <v>175</v>
      </c>
      <c r="B16" s="3" t="s">
        <v>176</v>
      </c>
      <c r="C16" s="3">
        <v>2026</v>
      </c>
      <c r="D16" s="3" t="s">
        <v>177</v>
      </c>
      <c r="E16" s="3" t="s">
        <v>178</v>
      </c>
      <c r="F16" s="3" t="s">
        <v>179</v>
      </c>
      <c r="G16" s="3" t="s">
        <v>180</v>
      </c>
      <c r="H16" s="3" t="s">
        <v>120</v>
      </c>
      <c r="I16" s="3" t="s">
        <v>181</v>
      </c>
      <c r="J16" s="3" t="s">
        <v>55</v>
      </c>
      <c r="K16" s="3" t="s">
        <v>182</v>
      </c>
      <c r="L16" s="3" t="s">
        <v>183</v>
      </c>
      <c r="M16" s="3" t="s">
        <v>58</v>
      </c>
    </row>
    <row r="17" spans="1:13" ht="68">
      <c r="A17" s="3" t="s">
        <v>184</v>
      </c>
      <c r="B17" s="3" t="s">
        <v>185</v>
      </c>
      <c r="C17" s="3">
        <v>2026</v>
      </c>
      <c r="D17" s="3" t="s">
        <v>186</v>
      </c>
      <c r="E17" s="3" t="s">
        <v>187</v>
      </c>
      <c r="F17" s="3" t="s">
        <v>188</v>
      </c>
      <c r="G17" s="3" t="s">
        <v>189</v>
      </c>
      <c r="H17" s="3" t="s">
        <v>155</v>
      </c>
      <c r="I17" s="3" t="s">
        <v>190</v>
      </c>
      <c r="J17" s="3" t="s">
        <v>67</v>
      </c>
      <c r="K17" s="3" t="s">
        <v>191</v>
      </c>
      <c r="L17" s="3" t="s">
        <v>192</v>
      </c>
      <c r="M17" s="3" t="s">
        <v>58</v>
      </c>
    </row>
    <row r="18" spans="1:13" ht="68">
      <c r="A18" s="3" t="s">
        <v>193</v>
      </c>
      <c r="B18" s="3" t="s">
        <v>194</v>
      </c>
      <c r="C18" s="3">
        <v>2026</v>
      </c>
      <c r="D18" s="3" t="s">
        <v>195</v>
      </c>
      <c r="E18" s="3" t="s">
        <v>196</v>
      </c>
      <c r="F18" s="3" t="s">
        <v>84</v>
      </c>
      <c r="G18" s="3" t="s">
        <v>3131</v>
      </c>
      <c r="H18" s="3" t="s">
        <v>3132</v>
      </c>
      <c r="I18" s="3" t="s">
        <v>3133</v>
      </c>
      <c r="J18" s="3" t="s">
        <v>55</v>
      </c>
      <c r="K18" s="3" t="s">
        <v>197</v>
      </c>
      <c r="L18" s="3" t="s">
        <v>3134</v>
      </c>
      <c r="M18" s="3" t="s">
        <v>3135</v>
      </c>
    </row>
    <row r="19" spans="1:13" ht="102">
      <c r="A19" s="3" t="s">
        <v>198</v>
      </c>
      <c r="B19" s="3" t="s">
        <v>199</v>
      </c>
      <c r="C19" s="3">
        <v>2026</v>
      </c>
      <c r="D19" s="3" t="s">
        <v>200</v>
      </c>
      <c r="E19" s="3" t="s">
        <v>201</v>
      </c>
      <c r="F19" s="3" t="s">
        <v>202</v>
      </c>
      <c r="G19" s="3" t="s">
        <v>203</v>
      </c>
      <c r="H19" s="3" t="s">
        <v>204</v>
      </c>
      <c r="I19" s="3" t="s">
        <v>205</v>
      </c>
      <c r="J19" s="3" t="s">
        <v>206</v>
      </c>
      <c r="K19" s="3" t="s">
        <v>207</v>
      </c>
      <c r="L19" s="3" t="s">
        <v>208</v>
      </c>
      <c r="M19" s="3" t="s">
        <v>149</v>
      </c>
    </row>
    <row r="20" spans="1:13" ht="68">
      <c r="A20" s="3" t="s">
        <v>209</v>
      </c>
      <c r="B20" s="3" t="s">
        <v>210</v>
      </c>
      <c r="C20" s="3">
        <v>2026</v>
      </c>
      <c r="D20" s="3" t="s">
        <v>211</v>
      </c>
      <c r="E20" s="3" t="s">
        <v>212</v>
      </c>
      <c r="F20" s="3" t="s">
        <v>75</v>
      </c>
      <c r="G20" s="3" t="s">
        <v>213</v>
      </c>
      <c r="H20" s="3" t="s">
        <v>65</v>
      </c>
      <c r="I20" s="3" t="s">
        <v>214</v>
      </c>
      <c r="J20" s="3" t="s">
        <v>55</v>
      </c>
      <c r="K20" s="3" t="s">
        <v>215</v>
      </c>
      <c r="L20" s="3" t="s">
        <v>216</v>
      </c>
      <c r="M20" s="3" t="s">
        <v>58</v>
      </c>
    </row>
    <row r="21" spans="1:13" ht="68">
      <c r="A21" s="3" t="s">
        <v>217</v>
      </c>
      <c r="B21" s="3" t="s">
        <v>218</v>
      </c>
      <c r="C21" s="3">
        <v>2026</v>
      </c>
      <c r="D21" s="3" t="s">
        <v>219</v>
      </c>
      <c r="E21" s="3" t="s">
        <v>220</v>
      </c>
      <c r="F21" s="3" t="s">
        <v>93</v>
      </c>
      <c r="G21" s="3" t="s">
        <v>221</v>
      </c>
      <c r="H21" s="3" t="s">
        <v>222</v>
      </c>
      <c r="I21" s="3" t="s">
        <v>223</v>
      </c>
      <c r="J21" s="3" t="s">
        <v>224</v>
      </c>
      <c r="K21" s="3" t="s">
        <v>225</v>
      </c>
      <c r="L21" s="3" t="s">
        <v>226</v>
      </c>
      <c r="M21" s="3" t="s">
        <v>58</v>
      </c>
    </row>
    <row r="22" spans="1:13" ht="68">
      <c r="A22" s="3" t="s">
        <v>227</v>
      </c>
      <c r="B22" s="3" t="s">
        <v>228</v>
      </c>
      <c r="C22" s="3">
        <v>2026</v>
      </c>
      <c r="D22" s="3" t="s">
        <v>229</v>
      </c>
      <c r="E22" s="3" t="s">
        <v>230</v>
      </c>
      <c r="F22" s="3" t="s">
        <v>231</v>
      </c>
      <c r="G22" s="3" t="s">
        <v>232</v>
      </c>
      <c r="H22" s="3" t="s">
        <v>65</v>
      </c>
      <c r="I22" s="3" t="s">
        <v>233</v>
      </c>
      <c r="J22" s="3" t="s">
        <v>67</v>
      </c>
      <c r="K22" s="3" t="s">
        <v>234</v>
      </c>
      <c r="L22" s="3" t="s">
        <v>235</v>
      </c>
      <c r="M22" s="3" t="s">
        <v>149</v>
      </c>
    </row>
    <row r="23" spans="1:13" ht="68">
      <c r="A23" s="3" t="s">
        <v>236</v>
      </c>
      <c r="B23" s="3" t="s">
        <v>237</v>
      </c>
      <c r="C23" s="3">
        <v>2026</v>
      </c>
      <c r="D23" s="3" t="s">
        <v>238</v>
      </c>
      <c r="E23" s="3" t="s">
        <v>239</v>
      </c>
      <c r="F23" s="3" t="s">
        <v>240</v>
      </c>
      <c r="G23" s="3" t="s">
        <v>241</v>
      </c>
      <c r="H23" s="3" t="s">
        <v>65</v>
      </c>
      <c r="I23" s="3" t="s">
        <v>242</v>
      </c>
      <c r="J23" s="3" t="s">
        <v>55</v>
      </c>
      <c r="K23" s="3" t="s">
        <v>243</v>
      </c>
      <c r="L23" s="3" t="s">
        <v>244</v>
      </c>
      <c r="M23" s="3" t="s">
        <v>245</v>
      </c>
    </row>
    <row r="24" spans="1:13" ht="102">
      <c r="A24" s="3" t="s">
        <v>246</v>
      </c>
      <c r="B24" s="3" t="s">
        <v>247</v>
      </c>
      <c r="C24" s="3">
        <v>2026</v>
      </c>
      <c r="D24" s="3" t="s">
        <v>248</v>
      </c>
      <c r="E24" s="3" t="s">
        <v>249</v>
      </c>
      <c r="F24" s="3" t="s">
        <v>250</v>
      </c>
      <c r="G24" s="3" t="s">
        <v>251</v>
      </c>
      <c r="H24" s="3" t="s">
        <v>252</v>
      </c>
      <c r="I24" s="3" t="s">
        <v>253</v>
      </c>
      <c r="J24" s="3" t="s">
        <v>254</v>
      </c>
      <c r="K24" s="3" t="s">
        <v>255</v>
      </c>
      <c r="L24" s="3" t="s">
        <v>256</v>
      </c>
      <c r="M24" s="3" t="s">
        <v>58</v>
      </c>
    </row>
    <row r="25" spans="1:13" ht="68">
      <c r="A25" s="3" t="s">
        <v>257</v>
      </c>
      <c r="B25" s="3" t="s">
        <v>258</v>
      </c>
      <c r="C25" s="3">
        <v>2026</v>
      </c>
      <c r="D25" s="3" t="s">
        <v>259</v>
      </c>
      <c r="E25" s="3" t="s">
        <v>260</v>
      </c>
      <c r="F25" s="3" t="s">
        <v>63</v>
      </c>
      <c r="G25" s="3" t="s">
        <v>261</v>
      </c>
      <c r="H25" s="3" t="s">
        <v>65</v>
      </c>
      <c r="I25" s="3" t="s">
        <v>262</v>
      </c>
      <c r="J25" s="3" t="s">
        <v>55</v>
      </c>
      <c r="K25" s="3" t="s">
        <v>263</v>
      </c>
      <c r="L25" s="3" t="s">
        <v>264</v>
      </c>
      <c r="M25" s="3" t="s">
        <v>149</v>
      </c>
    </row>
    <row r="26" spans="1:13" ht="51">
      <c r="A26" s="3" t="s">
        <v>265</v>
      </c>
      <c r="B26" s="3" t="s">
        <v>266</v>
      </c>
      <c r="C26" s="3">
        <v>2026</v>
      </c>
      <c r="D26" s="3" t="s">
        <v>267</v>
      </c>
      <c r="E26" s="3" t="s">
        <v>268</v>
      </c>
      <c r="F26" s="3" t="s">
        <v>269</v>
      </c>
      <c r="G26" s="3" t="s">
        <v>270</v>
      </c>
      <c r="H26" s="3" t="s">
        <v>65</v>
      </c>
      <c r="I26" s="3" t="s">
        <v>271</v>
      </c>
      <c r="J26" s="3" t="s">
        <v>55</v>
      </c>
      <c r="K26" s="3" t="s">
        <v>272</v>
      </c>
      <c r="L26" s="3" t="s">
        <v>273</v>
      </c>
      <c r="M26" s="3" t="s">
        <v>58</v>
      </c>
    </row>
    <row r="27" spans="1:13" ht="34">
      <c r="A27" s="3" t="s">
        <v>274</v>
      </c>
      <c r="B27" s="3" t="s">
        <v>275</v>
      </c>
      <c r="C27" s="3">
        <v>2025</v>
      </c>
      <c r="D27" s="3" t="s">
        <v>276</v>
      </c>
      <c r="E27" s="3" t="s">
        <v>277</v>
      </c>
      <c r="F27" s="3" t="s">
        <v>278</v>
      </c>
      <c r="G27" s="3" t="s">
        <v>279</v>
      </c>
      <c r="H27" s="3" t="s">
        <v>155</v>
      </c>
      <c r="I27" s="3" t="s">
        <v>280</v>
      </c>
      <c r="J27" s="3" t="s">
        <v>67</v>
      </c>
      <c r="K27" s="3" t="s">
        <v>281</v>
      </c>
      <c r="L27" s="3" t="s">
        <v>282</v>
      </c>
      <c r="M27" s="3" t="s">
        <v>58</v>
      </c>
    </row>
    <row r="28" spans="1:13" ht="68">
      <c r="A28" s="3" t="s">
        <v>283</v>
      </c>
      <c r="B28" s="3" t="s">
        <v>284</v>
      </c>
      <c r="C28" s="3">
        <v>2025</v>
      </c>
      <c r="D28" s="3" t="s">
        <v>285</v>
      </c>
      <c r="E28" s="3" t="s">
        <v>286</v>
      </c>
      <c r="F28" s="3" t="s">
        <v>287</v>
      </c>
      <c r="G28" s="3" t="s">
        <v>288</v>
      </c>
      <c r="H28" s="3" t="s">
        <v>289</v>
      </c>
      <c r="I28" s="3" t="s">
        <v>290</v>
      </c>
      <c r="J28" s="3" t="s">
        <v>67</v>
      </c>
      <c r="K28" s="3" t="s">
        <v>291</v>
      </c>
      <c r="L28" s="3" t="s">
        <v>292</v>
      </c>
      <c r="M28" s="3" t="s">
        <v>58</v>
      </c>
    </row>
    <row r="29" spans="1:13" ht="51">
      <c r="A29" s="3" t="s">
        <v>293</v>
      </c>
      <c r="B29" s="3" t="s">
        <v>294</v>
      </c>
      <c r="C29" s="3">
        <v>2025</v>
      </c>
      <c r="D29" s="3" t="s">
        <v>295</v>
      </c>
      <c r="E29" s="3" t="s">
        <v>296</v>
      </c>
      <c r="F29" s="3" t="s">
        <v>297</v>
      </c>
      <c r="G29" s="3" t="s">
        <v>298</v>
      </c>
      <c r="H29" s="3" t="s">
        <v>155</v>
      </c>
      <c r="I29" s="3" t="s">
        <v>299</v>
      </c>
      <c r="J29" s="3" t="s">
        <v>55</v>
      </c>
      <c r="K29" s="3" t="s">
        <v>300</v>
      </c>
      <c r="L29" s="3" t="s">
        <v>301</v>
      </c>
      <c r="M29" s="3" t="s">
        <v>58</v>
      </c>
    </row>
    <row r="30" spans="1:13" ht="85">
      <c r="A30" s="3" t="s">
        <v>302</v>
      </c>
      <c r="B30" s="3" t="s">
        <v>258</v>
      </c>
      <c r="C30" s="3">
        <v>2025</v>
      </c>
      <c r="D30" s="3" t="s">
        <v>303</v>
      </c>
      <c r="E30" s="3" t="s">
        <v>304</v>
      </c>
      <c r="F30" s="3" t="s">
        <v>63</v>
      </c>
      <c r="G30" s="3" t="s">
        <v>305</v>
      </c>
      <c r="H30" s="3" t="s">
        <v>306</v>
      </c>
      <c r="I30" s="3" t="s">
        <v>307</v>
      </c>
      <c r="J30" s="3" t="s">
        <v>55</v>
      </c>
      <c r="K30" s="3" t="s">
        <v>308</v>
      </c>
      <c r="L30" s="3" t="s">
        <v>309</v>
      </c>
      <c r="M30" s="3" t="s">
        <v>149</v>
      </c>
    </row>
    <row r="31" spans="1:13" ht="34">
      <c r="A31" s="3" t="s">
        <v>310</v>
      </c>
      <c r="B31" s="3" t="s">
        <v>311</v>
      </c>
      <c r="C31" s="3">
        <v>2025</v>
      </c>
      <c r="D31" s="3" t="s">
        <v>312</v>
      </c>
      <c r="E31" s="3" t="s">
        <v>313</v>
      </c>
      <c r="F31" s="3" t="s">
        <v>314</v>
      </c>
      <c r="G31" s="3" t="s">
        <v>315</v>
      </c>
      <c r="H31" s="3" t="s">
        <v>155</v>
      </c>
      <c r="I31" s="3" t="s">
        <v>316</v>
      </c>
      <c r="J31" s="3" t="s">
        <v>67</v>
      </c>
      <c r="K31" s="3" t="s">
        <v>317</v>
      </c>
      <c r="L31" s="3" t="s">
        <v>318</v>
      </c>
      <c r="M31" s="3" t="s">
        <v>58</v>
      </c>
    </row>
    <row r="32" spans="1:13" ht="34">
      <c r="A32" s="3" t="s">
        <v>319</v>
      </c>
      <c r="B32" s="3" t="s">
        <v>320</v>
      </c>
      <c r="C32" s="3">
        <v>2025</v>
      </c>
      <c r="D32" s="3" t="s">
        <v>321</v>
      </c>
      <c r="E32" s="3" t="s">
        <v>322</v>
      </c>
      <c r="F32" s="3" t="s">
        <v>75</v>
      </c>
      <c r="G32" s="3" t="s">
        <v>323</v>
      </c>
      <c r="H32" s="3" t="s">
        <v>65</v>
      </c>
      <c r="I32" s="3" t="s">
        <v>324</v>
      </c>
      <c r="J32" s="3" t="s">
        <v>55</v>
      </c>
      <c r="K32" s="3" t="s">
        <v>113</v>
      </c>
      <c r="L32" s="3" t="s">
        <v>325</v>
      </c>
      <c r="M32" s="3" t="s">
        <v>58</v>
      </c>
    </row>
    <row r="33" spans="1:13" ht="51">
      <c r="A33" s="3" t="s">
        <v>326</v>
      </c>
      <c r="B33" s="3" t="s">
        <v>327</v>
      </c>
      <c r="C33" s="3">
        <v>2025</v>
      </c>
      <c r="D33" s="3" t="s">
        <v>328</v>
      </c>
      <c r="E33" s="3" t="s">
        <v>329</v>
      </c>
      <c r="F33" s="3" t="s">
        <v>93</v>
      </c>
      <c r="G33" s="3" t="s">
        <v>330</v>
      </c>
      <c r="H33" s="3" t="s">
        <v>137</v>
      </c>
      <c r="I33" s="3" t="s">
        <v>331</v>
      </c>
      <c r="J33" s="3" t="s">
        <v>67</v>
      </c>
      <c r="K33" s="3" t="s">
        <v>291</v>
      </c>
      <c r="L33" s="3" t="s">
        <v>332</v>
      </c>
      <c r="M33" s="3" t="s">
        <v>149</v>
      </c>
    </row>
    <row r="34" spans="1:13" ht="51">
      <c r="A34" s="3" t="s">
        <v>333</v>
      </c>
      <c r="B34" s="3" t="s">
        <v>334</v>
      </c>
      <c r="C34" s="3">
        <v>2025</v>
      </c>
      <c r="D34" s="3" t="s">
        <v>335</v>
      </c>
      <c r="E34" s="3" t="s">
        <v>336</v>
      </c>
      <c r="F34" s="3" t="s">
        <v>337</v>
      </c>
      <c r="G34" s="3" t="s">
        <v>338</v>
      </c>
      <c r="H34" s="3" t="s">
        <v>65</v>
      </c>
      <c r="I34" s="3" t="s">
        <v>339</v>
      </c>
      <c r="J34" s="3" t="s">
        <v>67</v>
      </c>
      <c r="K34" s="3" t="s">
        <v>291</v>
      </c>
      <c r="L34" s="3" t="s">
        <v>340</v>
      </c>
      <c r="M34" s="3" t="s">
        <v>149</v>
      </c>
    </row>
    <row r="35" spans="1:13" ht="68">
      <c r="A35" s="3" t="s">
        <v>341</v>
      </c>
      <c r="B35" s="3" t="s">
        <v>342</v>
      </c>
      <c r="C35" s="3">
        <v>2025</v>
      </c>
      <c r="D35" s="3" t="s">
        <v>343</v>
      </c>
      <c r="E35" s="3" t="s">
        <v>344</v>
      </c>
      <c r="F35" s="3" t="s">
        <v>84</v>
      </c>
      <c r="G35" s="3" t="s">
        <v>345</v>
      </c>
      <c r="H35" s="3" t="s">
        <v>346</v>
      </c>
      <c r="I35" s="3" t="s">
        <v>347</v>
      </c>
      <c r="J35" s="3" t="s">
        <v>55</v>
      </c>
      <c r="K35" s="3" t="s">
        <v>348</v>
      </c>
      <c r="L35" s="3" t="s">
        <v>349</v>
      </c>
      <c r="M35" s="3" t="s">
        <v>58</v>
      </c>
    </row>
    <row r="36" spans="1:13" ht="85">
      <c r="A36" s="3" t="s">
        <v>350</v>
      </c>
      <c r="B36" s="3" t="s">
        <v>351</v>
      </c>
      <c r="C36" s="3">
        <v>2025</v>
      </c>
      <c r="D36" s="3" t="s">
        <v>352</v>
      </c>
      <c r="E36" s="3" t="s">
        <v>353</v>
      </c>
      <c r="F36" s="3" t="s">
        <v>93</v>
      </c>
      <c r="G36" s="3" t="s">
        <v>354</v>
      </c>
      <c r="H36" s="3" t="s">
        <v>355</v>
      </c>
      <c r="I36" s="3" t="s">
        <v>356</v>
      </c>
      <c r="J36" s="3" t="s">
        <v>55</v>
      </c>
      <c r="K36" s="3" t="s">
        <v>357</v>
      </c>
      <c r="L36" s="3" t="s">
        <v>358</v>
      </c>
      <c r="M36" s="3" t="s">
        <v>58</v>
      </c>
    </row>
    <row r="37" spans="1:13" ht="68">
      <c r="A37" s="3" t="s">
        <v>359</v>
      </c>
      <c r="B37" s="3" t="s">
        <v>360</v>
      </c>
      <c r="C37" s="3">
        <v>2024</v>
      </c>
      <c r="D37" s="3" t="s">
        <v>361</v>
      </c>
      <c r="E37" s="3" t="s">
        <v>362</v>
      </c>
      <c r="F37" s="3" t="s">
        <v>363</v>
      </c>
      <c r="G37" s="3" t="s">
        <v>364</v>
      </c>
      <c r="H37" s="3" t="s">
        <v>365</v>
      </c>
      <c r="I37" s="3" t="s">
        <v>366</v>
      </c>
      <c r="J37" s="3" t="s">
        <v>254</v>
      </c>
      <c r="K37" s="3" t="s">
        <v>367</v>
      </c>
      <c r="L37" s="3"/>
      <c r="M37" s="3" t="s">
        <v>58</v>
      </c>
    </row>
    <row r="38" spans="1:13" ht="68">
      <c r="A38" s="3" t="s">
        <v>368</v>
      </c>
      <c r="B38" s="3" t="s">
        <v>369</v>
      </c>
      <c r="C38" s="3">
        <v>2024</v>
      </c>
      <c r="D38" s="3" t="s">
        <v>370</v>
      </c>
      <c r="E38" s="3" t="s">
        <v>371</v>
      </c>
      <c r="F38" s="3" t="s">
        <v>372</v>
      </c>
      <c r="G38" s="3" t="s">
        <v>373</v>
      </c>
      <c r="H38" s="3" t="s">
        <v>374</v>
      </c>
      <c r="I38" s="3" t="s">
        <v>375</v>
      </c>
      <c r="J38" s="3" t="s">
        <v>67</v>
      </c>
      <c r="K38" s="3" t="s">
        <v>376</v>
      </c>
      <c r="L38" s="3" t="s">
        <v>377</v>
      </c>
      <c r="M38" s="3" t="s">
        <v>149</v>
      </c>
    </row>
    <row r="39" spans="1:13" ht="51">
      <c r="A39" s="3" t="s">
        <v>378</v>
      </c>
      <c r="B39" s="3" t="s">
        <v>379</v>
      </c>
      <c r="C39" s="3">
        <v>2024</v>
      </c>
      <c r="D39" s="3" t="s">
        <v>380</v>
      </c>
      <c r="E39" s="3" t="s">
        <v>381</v>
      </c>
      <c r="F39" s="3" t="s">
        <v>382</v>
      </c>
      <c r="G39" s="3" t="s">
        <v>383</v>
      </c>
      <c r="H39" s="3" t="s">
        <v>155</v>
      </c>
      <c r="I39" s="3" t="s">
        <v>384</v>
      </c>
      <c r="J39" s="3" t="s">
        <v>67</v>
      </c>
      <c r="K39" s="3" t="s">
        <v>182</v>
      </c>
      <c r="L39" s="3" t="s">
        <v>385</v>
      </c>
      <c r="M39" s="3" t="s">
        <v>58</v>
      </c>
    </row>
    <row r="40" spans="1:13" ht="68">
      <c r="A40" s="3" t="s">
        <v>386</v>
      </c>
      <c r="B40" s="3" t="s">
        <v>387</v>
      </c>
      <c r="C40" s="3">
        <v>2024</v>
      </c>
      <c r="D40" s="3" t="s">
        <v>388</v>
      </c>
      <c r="E40" s="3" t="s">
        <v>389</v>
      </c>
      <c r="F40" s="3" t="s">
        <v>390</v>
      </c>
      <c r="G40" s="3" t="s">
        <v>391</v>
      </c>
      <c r="H40" s="3" t="s">
        <v>392</v>
      </c>
      <c r="I40" s="3" t="s">
        <v>393</v>
      </c>
      <c r="J40" s="3" t="s">
        <v>394</v>
      </c>
      <c r="K40" s="3" t="s">
        <v>395</v>
      </c>
      <c r="L40" s="3" t="s">
        <v>396</v>
      </c>
      <c r="M40" s="3" t="s">
        <v>58</v>
      </c>
    </row>
    <row r="41" spans="1:13" ht="34">
      <c r="A41" s="3" t="s">
        <v>397</v>
      </c>
      <c r="B41" s="3" t="s">
        <v>398</v>
      </c>
      <c r="C41" s="3">
        <v>2024</v>
      </c>
      <c r="D41" s="3" t="s">
        <v>399</v>
      </c>
      <c r="E41" s="3" t="s">
        <v>400</v>
      </c>
      <c r="F41" s="3" t="s">
        <v>401</v>
      </c>
      <c r="G41" s="3" t="s">
        <v>402</v>
      </c>
      <c r="H41" s="3" t="s">
        <v>65</v>
      </c>
      <c r="I41" s="3" t="s">
        <v>403</v>
      </c>
      <c r="J41" s="3" t="s">
        <v>67</v>
      </c>
      <c r="K41" s="3" t="s">
        <v>404</v>
      </c>
      <c r="L41" s="3" t="s">
        <v>405</v>
      </c>
      <c r="M41" s="3" t="s">
        <v>70</v>
      </c>
    </row>
    <row r="42" spans="1:13" ht="68">
      <c r="A42" s="3" t="s">
        <v>406</v>
      </c>
      <c r="B42" s="3" t="s">
        <v>407</v>
      </c>
      <c r="C42" s="3">
        <v>2024</v>
      </c>
      <c r="D42" s="3" t="s">
        <v>408</v>
      </c>
      <c r="E42" s="3" t="s">
        <v>409</v>
      </c>
      <c r="F42" s="3" t="s">
        <v>410</v>
      </c>
      <c r="G42" s="3" t="s">
        <v>411</v>
      </c>
      <c r="H42" s="3" t="s">
        <v>65</v>
      </c>
      <c r="I42" s="3" t="s">
        <v>412</v>
      </c>
      <c r="J42" s="3" t="s">
        <v>55</v>
      </c>
      <c r="K42" s="3" t="s">
        <v>413</v>
      </c>
      <c r="L42" s="3" t="s">
        <v>414</v>
      </c>
      <c r="M42" s="3" t="s">
        <v>149</v>
      </c>
    </row>
    <row r="43" spans="1:13" ht="51">
      <c r="A43" s="3" t="s">
        <v>415</v>
      </c>
      <c r="B43" s="3" t="s">
        <v>284</v>
      </c>
      <c r="C43" s="3">
        <v>2023</v>
      </c>
      <c r="D43" s="3" t="s">
        <v>416</v>
      </c>
      <c r="E43" s="3" t="s">
        <v>417</v>
      </c>
      <c r="F43" s="3" t="s">
        <v>84</v>
      </c>
      <c r="G43" s="3" t="s">
        <v>418</v>
      </c>
      <c r="H43" s="3" t="s">
        <v>65</v>
      </c>
      <c r="I43" s="3" t="s">
        <v>419</v>
      </c>
      <c r="J43" s="3" t="s">
        <v>420</v>
      </c>
      <c r="K43" s="3" t="s">
        <v>291</v>
      </c>
      <c r="L43" s="3" t="s">
        <v>421</v>
      </c>
      <c r="M43" s="3" t="s">
        <v>149</v>
      </c>
    </row>
    <row r="44" spans="1:13" ht="85">
      <c r="A44" s="3" t="s">
        <v>422</v>
      </c>
      <c r="B44" s="3" t="s">
        <v>423</v>
      </c>
      <c r="C44" s="3">
        <v>2023</v>
      </c>
      <c r="D44" s="3" t="s">
        <v>424</v>
      </c>
      <c r="E44" s="3" t="s">
        <v>425</v>
      </c>
      <c r="F44" s="3" t="s">
        <v>426</v>
      </c>
      <c r="G44" s="3" t="s">
        <v>427</v>
      </c>
      <c r="H44" s="3" t="s">
        <v>428</v>
      </c>
      <c r="I44" s="3" t="s">
        <v>429</v>
      </c>
      <c r="J44" s="3" t="s">
        <v>394</v>
      </c>
      <c r="K44" s="3" t="s">
        <v>430</v>
      </c>
      <c r="L44" s="3" t="s">
        <v>431</v>
      </c>
      <c r="M44" s="3" t="s">
        <v>58</v>
      </c>
    </row>
    <row r="45" spans="1:13" ht="51">
      <c r="A45" s="3" t="s">
        <v>432</v>
      </c>
      <c r="B45" s="3" t="s">
        <v>433</v>
      </c>
      <c r="C45" s="3">
        <v>2023</v>
      </c>
      <c r="D45" s="3" t="s">
        <v>434</v>
      </c>
      <c r="E45" s="3" t="s">
        <v>435</v>
      </c>
      <c r="F45" s="3" t="s">
        <v>436</v>
      </c>
      <c r="G45" s="3" t="s">
        <v>437</v>
      </c>
      <c r="H45" s="3" t="s">
        <v>438</v>
      </c>
      <c r="I45" s="3" t="s">
        <v>439</v>
      </c>
      <c r="J45" s="3" t="s">
        <v>440</v>
      </c>
      <c r="K45" s="3" t="s">
        <v>441</v>
      </c>
      <c r="L45" s="3" t="s">
        <v>442</v>
      </c>
      <c r="M45" s="3" t="s">
        <v>58</v>
      </c>
    </row>
    <row r="46" spans="1:13" ht="51">
      <c r="A46" s="3" t="s">
        <v>443</v>
      </c>
      <c r="B46" s="3" t="s">
        <v>444</v>
      </c>
      <c r="C46" s="3">
        <v>2023</v>
      </c>
      <c r="D46" s="3" t="s">
        <v>445</v>
      </c>
      <c r="E46" s="3" t="s">
        <v>446</v>
      </c>
      <c r="F46" s="3" t="s">
        <v>447</v>
      </c>
      <c r="G46" s="3" t="s">
        <v>448</v>
      </c>
      <c r="H46" s="3" t="s">
        <v>449</v>
      </c>
      <c r="I46" s="3" t="s">
        <v>450</v>
      </c>
      <c r="J46" s="3" t="s">
        <v>55</v>
      </c>
      <c r="K46" s="3" t="s">
        <v>451</v>
      </c>
      <c r="L46" s="3" t="s">
        <v>452</v>
      </c>
      <c r="M46" s="3" t="s">
        <v>58</v>
      </c>
    </row>
    <row r="47" spans="1:13" ht="51">
      <c r="A47" s="3" t="s">
        <v>453</v>
      </c>
      <c r="B47" s="3" t="s">
        <v>454</v>
      </c>
      <c r="C47" s="3">
        <v>2023</v>
      </c>
      <c r="D47" s="3" t="s">
        <v>455</v>
      </c>
      <c r="E47" s="3" t="s">
        <v>456</v>
      </c>
      <c r="F47" s="3" t="s">
        <v>457</v>
      </c>
      <c r="G47" s="3" t="s">
        <v>458</v>
      </c>
      <c r="H47" s="3" t="s">
        <v>459</v>
      </c>
      <c r="I47" s="3" t="s">
        <v>460</v>
      </c>
      <c r="J47" s="3" t="s">
        <v>55</v>
      </c>
      <c r="K47" s="3" t="s">
        <v>461</v>
      </c>
      <c r="L47" s="3" t="s">
        <v>462</v>
      </c>
      <c r="M47" s="3" t="s">
        <v>58</v>
      </c>
    </row>
    <row r="48" spans="1:13" ht="34">
      <c r="A48" s="3" t="s">
        <v>463</v>
      </c>
      <c r="B48" s="3" t="s">
        <v>464</v>
      </c>
      <c r="C48" s="3">
        <v>2022</v>
      </c>
      <c r="D48" s="3" t="s">
        <v>465</v>
      </c>
      <c r="E48" s="3" t="s">
        <v>466</v>
      </c>
      <c r="F48" s="3" t="s">
        <v>467</v>
      </c>
      <c r="G48" s="3" t="s">
        <v>468</v>
      </c>
      <c r="H48" s="3" t="s">
        <v>469</v>
      </c>
      <c r="I48" s="3" t="s">
        <v>470</v>
      </c>
      <c r="J48" s="3" t="s">
        <v>67</v>
      </c>
      <c r="K48" s="3" t="s">
        <v>113</v>
      </c>
      <c r="L48" s="3" t="s">
        <v>471</v>
      </c>
      <c r="M48" s="3" t="s">
        <v>58</v>
      </c>
    </row>
    <row r="49" spans="1:13" ht="68">
      <c r="A49" s="3" t="s">
        <v>472</v>
      </c>
      <c r="B49" s="3" t="s">
        <v>194</v>
      </c>
      <c r="C49" s="3">
        <v>2022</v>
      </c>
      <c r="D49" s="3" t="s">
        <v>473</v>
      </c>
      <c r="E49" s="3" t="s">
        <v>474</v>
      </c>
      <c r="F49" s="3" t="s">
        <v>475</v>
      </c>
      <c r="G49" s="3" t="s">
        <v>476</v>
      </c>
      <c r="H49" s="3" t="s">
        <v>155</v>
      </c>
      <c r="I49" s="3" t="s">
        <v>477</v>
      </c>
      <c r="J49" s="3" t="s">
        <v>67</v>
      </c>
      <c r="K49" s="3" t="s">
        <v>478</v>
      </c>
      <c r="L49" s="3" t="s">
        <v>479</v>
      </c>
      <c r="M49" s="3" t="s">
        <v>58</v>
      </c>
    </row>
    <row r="50" spans="1:13" ht="51">
      <c r="A50" s="3" t="s">
        <v>480</v>
      </c>
      <c r="B50" s="3" t="s">
        <v>481</v>
      </c>
      <c r="C50" s="3">
        <v>2022</v>
      </c>
      <c r="D50" s="3" t="s">
        <v>482</v>
      </c>
      <c r="E50" s="3" t="s">
        <v>483</v>
      </c>
      <c r="F50" s="3" t="s">
        <v>93</v>
      </c>
      <c r="G50" s="3" t="s">
        <v>484</v>
      </c>
      <c r="H50" s="3" t="s">
        <v>137</v>
      </c>
      <c r="I50" s="3" t="s">
        <v>485</v>
      </c>
      <c r="J50" s="3" t="s">
        <v>67</v>
      </c>
      <c r="K50" s="3" t="s">
        <v>486</v>
      </c>
      <c r="L50" s="3" t="s">
        <v>487</v>
      </c>
      <c r="M50" s="3" t="s">
        <v>149</v>
      </c>
    </row>
    <row r="51" spans="1:13" ht="85">
      <c r="A51" s="3" t="s">
        <v>488</v>
      </c>
      <c r="B51" s="3" t="s">
        <v>489</v>
      </c>
      <c r="C51" s="3">
        <v>2021</v>
      </c>
      <c r="D51" s="3" t="s">
        <v>490</v>
      </c>
      <c r="E51" s="3" t="s">
        <v>491</v>
      </c>
      <c r="F51" s="3" t="s">
        <v>84</v>
      </c>
      <c r="G51" s="3" t="s">
        <v>492</v>
      </c>
      <c r="H51" s="3" t="s">
        <v>493</v>
      </c>
      <c r="I51" s="3" t="s">
        <v>494</v>
      </c>
      <c r="J51" s="3" t="s">
        <v>495</v>
      </c>
      <c r="K51" s="3" t="s">
        <v>496</v>
      </c>
      <c r="L51" s="3" t="s">
        <v>497</v>
      </c>
      <c r="M51" s="3" t="s">
        <v>149</v>
      </c>
    </row>
    <row r="52" spans="1:13" ht="68">
      <c r="A52" s="3" t="s">
        <v>498</v>
      </c>
      <c r="B52" s="3" t="s">
        <v>499</v>
      </c>
      <c r="C52" s="3">
        <v>2022</v>
      </c>
      <c r="D52" s="3" t="s">
        <v>500</v>
      </c>
      <c r="E52" s="3" t="s">
        <v>501</v>
      </c>
      <c r="F52" s="3" t="s">
        <v>103</v>
      </c>
      <c r="G52" s="3" t="s">
        <v>502</v>
      </c>
      <c r="H52" s="3" t="s">
        <v>449</v>
      </c>
      <c r="I52" s="3" t="s">
        <v>503</v>
      </c>
      <c r="J52" s="3" t="s">
        <v>55</v>
      </c>
      <c r="K52" s="3" t="s">
        <v>504</v>
      </c>
      <c r="L52" s="3" t="s">
        <v>505</v>
      </c>
      <c r="M52" s="3" t="s">
        <v>149</v>
      </c>
    </row>
    <row r="53" spans="1:13" ht="68">
      <c r="A53" s="3" t="s">
        <v>506</v>
      </c>
      <c r="B53" s="3" t="s">
        <v>507</v>
      </c>
      <c r="C53" s="3">
        <v>2021</v>
      </c>
      <c r="D53" s="3" t="s">
        <v>508</v>
      </c>
      <c r="E53" s="3" t="s">
        <v>509</v>
      </c>
      <c r="F53" s="3" t="s">
        <v>510</v>
      </c>
      <c r="G53" s="3" t="s">
        <v>511</v>
      </c>
      <c r="H53" s="3" t="s">
        <v>65</v>
      </c>
      <c r="I53" s="3" t="s">
        <v>512</v>
      </c>
      <c r="J53" s="3" t="s">
        <v>67</v>
      </c>
      <c r="K53" s="3" t="s">
        <v>513</v>
      </c>
      <c r="L53" s="3" t="s">
        <v>514</v>
      </c>
      <c r="M53" s="3" t="s">
        <v>149</v>
      </c>
    </row>
    <row r="54" spans="1:13" ht="51">
      <c r="A54" s="3" t="s">
        <v>515</v>
      </c>
      <c r="B54" s="3" t="s">
        <v>516</v>
      </c>
      <c r="C54" s="3">
        <v>2020</v>
      </c>
      <c r="D54" s="3" t="s">
        <v>517</v>
      </c>
      <c r="E54" s="3" t="s">
        <v>518</v>
      </c>
      <c r="F54" s="3" t="s">
        <v>519</v>
      </c>
      <c r="G54" s="3" t="s">
        <v>520</v>
      </c>
      <c r="H54" s="3" t="s">
        <v>65</v>
      </c>
      <c r="I54" s="3" t="s">
        <v>521</v>
      </c>
      <c r="J54" s="3" t="s">
        <v>55</v>
      </c>
      <c r="K54" s="3" t="s">
        <v>522</v>
      </c>
      <c r="L54" s="3" t="s">
        <v>523</v>
      </c>
      <c r="M54" s="3" t="s">
        <v>149</v>
      </c>
    </row>
    <row r="55" spans="1:13" ht="68">
      <c r="A55" s="3" t="s">
        <v>524</v>
      </c>
      <c r="B55" s="3" t="s">
        <v>525</v>
      </c>
      <c r="C55" s="3">
        <v>2019</v>
      </c>
      <c r="D55" s="3" t="s">
        <v>526</v>
      </c>
      <c r="E55" s="3" t="s">
        <v>527</v>
      </c>
      <c r="F55" s="3" t="s">
        <v>528</v>
      </c>
      <c r="G55" s="3" t="s">
        <v>529</v>
      </c>
      <c r="H55" s="3" t="s">
        <v>530</v>
      </c>
      <c r="I55" s="3" t="s">
        <v>531</v>
      </c>
      <c r="J55" s="3" t="s">
        <v>55</v>
      </c>
      <c r="K55" s="3" t="s">
        <v>532</v>
      </c>
      <c r="L55" s="3" t="s">
        <v>533</v>
      </c>
      <c r="M55" s="3" t="s">
        <v>58</v>
      </c>
    </row>
    <row r="56" spans="1:13" ht="51">
      <c r="A56" s="3" t="s">
        <v>534</v>
      </c>
      <c r="B56" s="3" t="s">
        <v>499</v>
      </c>
      <c r="C56" s="3">
        <v>2024</v>
      </c>
      <c r="D56" s="3" t="s">
        <v>535</v>
      </c>
      <c r="E56" s="3" t="s">
        <v>536</v>
      </c>
      <c r="F56" s="3" t="s">
        <v>84</v>
      </c>
      <c r="G56" s="3" t="s">
        <v>537</v>
      </c>
      <c r="H56" s="3" t="s">
        <v>538</v>
      </c>
      <c r="I56" s="3" t="s">
        <v>539</v>
      </c>
      <c r="J56" s="3" t="s">
        <v>224</v>
      </c>
      <c r="K56" s="3" t="s">
        <v>540</v>
      </c>
      <c r="L56" s="3" t="s">
        <v>541</v>
      </c>
      <c r="M56" s="3" t="s">
        <v>149</v>
      </c>
    </row>
    <row r="57" spans="1:13" ht="85">
      <c r="A57" s="3" t="s">
        <v>542</v>
      </c>
      <c r="B57" s="3" t="s">
        <v>199</v>
      </c>
      <c r="C57" s="3">
        <v>2025</v>
      </c>
      <c r="D57" s="3" t="s">
        <v>543</v>
      </c>
      <c r="E57" s="3" t="s">
        <v>544</v>
      </c>
      <c r="F57" s="3" t="s">
        <v>363</v>
      </c>
      <c r="G57" s="3" t="s">
        <v>545</v>
      </c>
      <c r="H57" s="3" t="s">
        <v>546</v>
      </c>
      <c r="I57" s="3" t="s">
        <v>547</v>
      </c>
      <c r="J57" s="3" t="s">
        <v>548</v>
      </c>
      <c r="K57" s="3" t="s">
        <v>549</v>
      </c>
      <c r="L57" s="3" t="s">
        <v>550</v>
      </c>
      <c r="M57" s="3" t="s">
        <v>149</v>
      </c>
    </row>
    <row r="58" spans="1:13" ht="51">
      <c r="A58" s="3" t="s">
        <v>551</v>
      </c>
      <c r="B58" s="3" t="s">
        <v>552</v>
      </c>
      <c r="C58" s="3">
        <v>2025</v>
      </c>
      <c r="D58" s="3" t="s">
        <v>553</v>
      </c>
      <c r="E58" s="3" t="s">
        <v>554</v>
      </c>
      <c r="F58" s="3" t="s">
        <v>555</v>
      </c>
      <c r="G58" s="3" t="s">
        <v>556</v>
      </c>
      <c r="H58" s="3" t="s">
        <v>557</v>
      </c>
      <c r="I58" s="3" t="s">
        <v>558</v>
      </c>
      <c r="J58" s="3" t="s">
        <v>224</v>
      </c>
      <c r="K58" s="3" t="s">
        <v>559</v>
      </c>
      <c r="L58" s="3" t="s">
        <v>560</v>
      </c>
      <c r="M58" s="3" t="s">
        <v>58</v>
      </c>
    </row>
    <row r="59" spans="1:13" ht="85">
      <c r="A59" s="3" t="s">
        <v>561</v>
      </c>
      <c r="B59" s="3" t="s">
        <v>334</v>
      </c>
      <c r="C59" s="3">
        <v>2026</v>
      </c>
      <c r="D59" s="3" t="s">
        <v>562</v>
      </c>
      <c r="E59" s="3" t="s">
        <v>563</v>
      </c>
      <c r="F59" s="3" t="s">
        <v>564</v>
      </c>
      <c r="G59" s="3" t="s">
        <v>565</v>
      </c>
      <c r="H59" s="3" t="s">
        <v>566</v>
      </c>
      <c r="I59" s="3" t="s">
        <v>567</v>
      </c>
      <c r="J59" s="3" t="s">
        <v>568</v>
      </c>
      <c r="K59" s="3" t="s">
        <v>569</v>
      </c>
      <c r="L59" s="3" t="s">
        <v>570</v>
      </c>
      <c r="M59" s="3" t="s">
        <v>245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D59"/>
  <sheetViews>
    <sheetView tabSelected="1" topLeftCell="BW23" workbookViewId="0"/>
  </sheetViews>
  <sheetFormatPr baseColWidth="10" defaultColWidth="8.83203125" defaultRowHeight="16"/>
  <cols>
    <col min="1" max="1" width="9" style="1" customWidth="1"/>
    <col min="2" max="2" width="12" style="1" customWidth="1"/>
    <col min="3" max="3" width="20" style="1" customWidth="1"/>
    <col min="4" max="4" width="42" style="1" customWidth="1"/>
    <col min="5" max="5" width="8" style="1" customWidth="1"/>
    <col min="6" max="6" width="30" style="1" customWidth="1"/>
    <col min="7" max="7" width="20" style="1" customWidth="1"/>
    <col min="8" max="8" width="50" style="1" customWidth="1"/>
    <col min="9" max="9" width="18" style="1" customWidth="1"/>
    <col min="10" max="10" width="22" style="1" customWidth="1"/>
    <col min="11" max="13" width="30" style="1" customWidth="1"/>
    <col min="14" max="14" width="34" style="1" customWidth="1"/>
    <col min="15" max="15" width="20" style="1" customWidth="1"/>
    <col min="16" max="16" width="34" style="1" customWidth="1"/>
    <col min="17" max="17" width="18" style="1" customWidth="1"/>
    <col min="18" max="19" width="24" style="1" customWidth="1"/>
    <col min="20" max="20" width="34" style="1" customWidth="1"/>
    <col min="21" max="21" width="22" style="1" customWidth="1"/>
    <col min="22" max="22" width="30" style="1" customWidth="1"/>
    <col min="23" max="23" width="16" style="1" customWidth="1"/>
    <col min="24" max="24" width="22" style="1" customWidth="1"/>
    <col min="25" max="26" width="26" style="1" customWidth="1"/>
    <col min="27" max="27" width="22" style="1" customWidth="1"/>
    <col min="28" max="30" width="20" style="1" customWidth="1"/>
    <col min="31" max="31" width="14" style="1" customWidth="1"/>
    <col min="32" max="32" width="32" style="1" customWidth="1"/>
    <col min="33" max="33" width="18" style="1" customWidth="1"/>
    <col min="34" max="34" width="28" style="1" customWidth="1"/>
    <col min="35" max="35" width="26" style="1" customWidth="1"/>
    <col min="36" max="37" width="24" style="1" customWidth="1"/>
    <col min="38" max="39" width="18" style="1" customWidth="1"/>
    <col min="40" max="40" width="34" style="1" customWidth="1"/>
    <col min="41" max="41" width="30" style="1" customWidth="1"/>
    <col min="42" max="42" width="24" style="1" customWidth="1"/>
    <col min="43" max="43" width="22" style="1" customWidth="1"/>
    <col min="44" max="44" width="42" style="1" customWidth="1"/>
    <col min="45" max="45" width="24" style="1" customWidth="1"/>
    <col min="46" max="46" width="18" style="1" customWidth="1"/>
    <col min="47" max="47" width="42" style="1" customWidth="1"/>
    <col min="48" max="49" width="34" style="1" customWidth="1"/>
    <col min="50" max="50" width="26" style="1" customWidth="1"/>
    <col min="51" max="51" width="22" style="1" customWidth="1"/>
    <col min="52" max="52" width="18" style="1" customWidth="1"/>
    <col min="53" max="53" width="44" style="1" customWidth="1"/>
    <col min="54" max="54" width="34" style="1" customWidth="1"/>
    <col min="55" max="55" width="22" style="1" customWidth="1"/>
    <col min="56" max="56" width="34" style="1" customWidth="1"/>
    <col min="57" max="57" width="22" style="1" customWidth="1"/>
    <col min="58" max="58" width="34" style="1" customWidth="1"/>
    <col min="59" max="59" width="26" style="1" customWidth="1"/>
    <col min="60" max="60" width="38" style="1" customWidth="1"/>
    <col min="61" max="61" width="52" style="1" customWidth="1"/>
    <col min="62" max="62" width="24" style="1" customWidth="1"/>
    <col min="63" max="63" width="30" style="1" customWidth="1"/>
    <col min="64" max="64" width="44" style="1" customWidth="1"/>
    <col min="65" max="65" width="34" style="1" customWidth="1"/>
    <col min="66" max="66" width="24" style="1" customWidth="1"/>
    <col min="67" max="67" width="22" style="1" customWidth="1"/>
    <col min="68" max="68" width="24" style="1" customWidth="1"/>
    <col min="69" max="69" width="22" style="1" customWidth="1"/>
    <col min="70" max="70" width="50" style="1" customWidth="1"/>
    <col min="71" max="71" width="26" style="1" customWidth="1"/>
    <col min="72" max="72" width="46" style="1" customWidth="1"/>
    <col min="73" max="74" width="18" style="1" customWidth="1"/>
    <col min="75" max="75" width="20" style="1" customWidth="1"/>
    <col min="76" max="76" width="44" style="1" customWidth="1"/>
    <col min="77" max="77" width="46" style="1" customWidth="1"/>
    <col min="78" max="79" width="42" style="1" customWidth="1"/>
    <col min="80" max="80" width="38" style="1" customWidth="1"/>
    <col min="81" max="81" width="46" style="1" customWidth="1"/>
    <col min="82" max="82" width="38" style="1" customWidth="1"/>
  </cols>
  <sheetData>
    <row r="1" spans="1:82" ht="236.25" customHeight="1">
      <c r="A1" s="2" t="s">
        <v>34</v>
      </c>
      <c r="B1" s="2" t="s">
        <v>571</v>
      </c>
      <c r="C1" s="2" t="s">
        <v>35</v>
      </c>
      <c r="D1" s="2" t="s">
        <v>572</v>
      </c>
      <c r="E1" s="2" t="s">
        <v>36</v>
      </c>
      <c r="F1" s="2" t="s">
        <v>37</v>
      </c>
      <c r="G1" s="2" t="s">
        <v>573</v>
      </c>
      <c r="H1" s="2" t="s">
        <v>574</v>
      </c>
      <c r="I1" s="2" t="s">
        <v>575</v>
      </c>
      <c r="J1" s="2" t="s">
        <v>576</v>
      </c>
      <c r="K1" s="2" t="s">
        <v>577</v>
      </c>
      <c r="L1" s="2" t="s">
        <v>578</v>
      </c>
      <c r="M1" s="2" t="s">
        <v>579</v>
      </c>
      <c r="N1" s="2" t="s">
        <v>580</v>
      </c>
      <c r="O1" s="2" t="s">
        <v>581</v>
      </c>
      <c r="P1" s="2" t="s">
        <v>582</v>
      </c>
      <c r="Q1" s="2" t="s">
        <v>583</v>
      </c>
      <c r="R1" s="2" t="s">
        <v>584</v>
      </c>
      <c r="S1" s="2" t="s">
        <v>585</v>
      </c>
      <c r="T1" s="2" t="s">
        <v>586</v>
      </c>
      <c r="U1" s="2" t="s">
        <v>587</v>
      </c>
      <c r="V1" s="2" t="s">
        <v>588</v>
      </c>
      <c r="W1" s="2" t="s">
        <v>589</v>
      </c>
      <c r="X1" s="2" t="s">
        <v>590</v>
      </c>
      <c r="Y1" s="2" t="s">
        <v>591</v>
      </c>
      <c r="Z1" s="2" t="s">
        <v>592</v>
      </c>
      <c r="AA1" s="2" t="s">
        <v>593</v>
      </c>
      <c r="AB1" s="2" t="s">
        <v>594</v>
      </c>
      <c r="AC1" s="2" t="s">
        <v>595</v>
      </c>
      <c r="AD1" s="2" t="s">
        <v>596</v>
      </c>
      <c r="AE1" s="2" t="s">
        <v>597</v>
      </c>
      <c r="AF1" s="2" t="s">
        <v>598</v>
      </c>
      <c r="AG1" s="2" t="s">
        <v>599</v>
      </c>
      <c r="AH1" s="2" t="s">
        <v>600</v>
      </c>
      <c r="AI1" s="2" t="s">
        <v>601</v>
      </c>
      <c r="AJ1" s="2" t="s">
        <v>602</v>
      </c>
      <c r="AK1" s="2" t="s">
        <v>603</v>
      </c>
      <c r="AL1" s="2" t="s">
        <v>604</v>
      </c>
      <c r="AM1" s="2" t="s">
        <v>605</v>
      </c>
      <c r="AN1" s="2" t="s">
        <v>606</v>
      </c>
      <c r="AO1" s="2" t="s">
        <v>607</v>
      </c>
      <c r="AP1" s="2" t="s">
        <v>608</v>
      </c>
      <c r="AQ1" s="2" t="s">
        <v>609</v>
      </c>
      <c r="AR1" s="2" t="s">
        <v>610</v>
      </c>
      <c r="AS1" s="2" t="s">
        <v>611</v>
      </c>
      <c r="AT1" s="2" t="s">
        <v>612</v>
      </c>
      <c r="AU1" s="2" t="s">
        <v>613</v>
      </c>
      <c r="AV1" s="2" t="s">
        <v>614</v>
      </c>
      <c r="AW1" s="2" t="s">
        <v>615</v>
      </c>
      <c r="AX1" s="2" t="s">
        <v>616</v>
      </c>
      <c r="AY1" s="2" t="s">
        <v>617</v>
      </c>
      <c r="AZ1" s="2" t="s">
        <v>618</v>
      </c>
      <c r="BA1" s="2" t="s">
        <v>619</v>
      </c>
      <c r="BB1" s="2" t="s">
        <v>620</v>
      </c>
      <c r="BC1" s="2" t="s">
        <v>621</v>
      </c>
      <c r="BD1" s="2" t="s">
        <v>622</v>
      </c>
      <c r="BE1" s="2" t="s">
        <v>623</v>
      </c>
      <c r="BF1" s="2" t="s">
        <v>624</v>
      </c>
      <c r="BG1" s="2" t="s">
        <v>625</v>
      </c>
      <c r="BH1" s="2" t="s">
        <v>626</v>
      </c>
      <c r="BI1" s="2" t="s">
        <v>627</v>
      </c>
      <c r="BJ1" s="2" t="s">
        <v>628</v>
      </c>
      <c r="BK1" s="2" t="s">
        <v>629</v>
      </c>
      <c r="BL1" s="2" t="s">
        <v>630</v>
      </c>
      <c r="BM1" s="2" t="s">
        <v>631</v>
      </c>
      <c r="BN1" s="2" t="s">
        <v>632</v>
      </c>
      <c r="BO1" s="2" t="s">
        <v>633</v>
      </c>
      <c r="BP1" s="2" t="s">
        <v>634</v>
      </c>
      <c r="BQ1" s="2" t="s">
        <v>635</v>
      </c>
      <c r="BR1" s="2" t="s">
        <v>636</v>
      </c>
      <c r="BS1" s="2" t="s">
        <v>637</v>
      </c>
      <c r="BT1" s="2" t="s">
        <v>638</v>
      </c>
      <c r="BU1" s="2" t="s">
        <v>639</v>
      </c>
      <c r="BV1" s="2" t="s">
        <v>640</v>
      </c>
      <c r="BW1" s="2" t="s">
        <v>641</v>
      </c>
      <c r="BX1" s="2" t="s">
        <v>642</v>
      </c>
      <c r="BY1" s="2" t="s">
        <v>643</v>
      </c>
      <c r="BZ1" s="2" t="s">
        <v>644</v>
      </c>
      <c r="CA1" s="2" t="s">
        <v>645</v>
      </c>
      <c r="CB1" s="2" t="s">
        <v>646</v>
      </c>
      <c r="CC1" s="2" t="s">
        <v>647</v>
      </c>
      <c r="CD1"/>
    </row>
    <row r="2" spans="1:82" ht="133.25" customHeight="1">
      <c r="A2" s="3" t="s">
        <v>47</v>
      </c>
      <c r="B2" s="3" t="s">
        <v>648</v>
      </c>
      <c r="C2" s="3" t="s">
        <v>649</v>
      </c>
      <c r="D2" s="3" t="s">
        <v>650</v>
      </c>
      <c r="E2" s="3" t="s">
        <v>651</v>
      </c>
      <c r="F2" s="3" t="s">
        <v>49</v>
      </c>
      <c r="G2" s="3" t="s">
        <v>652</v>
      </c>
      <c r="H2" s="3" t="s">
        <v>653</v>
      </c>
      <c r="I2" s="3" t="s">
        <v>654</v>
      </c>
      <c r="J2" s="3" t="s">
        <v>655</v>
      </c>
      <c r="K2" s="3" t="s">
        <v>51</v>
      </c>
      <c r="L2" s="3" t="s">
        <v>656</v>
      </c>
      <c r="M2" s="3" t="s">
        <v>657</v>
      </c>
      <c r="N2" s="3" t="s">
        <v>50</v>
      </c>
      <c r="O2" s="3" t="s">
        <v>658</v>
      </c>
      <c r="P2" s="3" t="s">
        <v>659</v>
      </c>
      <c r="Q2" s="3" t="s">
        <v>660</v>
      </c>
      <c r="R2" s="3" t="s">
        <v>661</v>
      </c>
      <c r="S2" s="3" t="s">
        <v>662</v>
      </c>
      <c r="T2" s="3" t="s">
        <v>663</v>
      </c>
      <c r="U2" s="3" t="s">
        <v>664</v>
      </c>
      <c r="V2" s="3" t="s">
        <v>665</v>
      </c>
      <c r="W2" s="3" t="s">
        <v>666</v>
      </c>
      <c r="X2" s="3" t="s">
        <v>53</v>
      </c>
      <c r="Y2" s="3" t="s">
        <v>667</v>
      </c>
      <c r="Z2" s="3" t="s">
        <v>668</v>
      </c>
      <c r="AA2" s="3" t="s">
        <v>669</v>
      </c>
      <c r="AB2" s="3" t="s">
        <v>669</v>
      </c>
      <c r="AC2" s="3" t="s">
        <v>669</v>
      </c>
      <c r="AD2" s="3" t="s">
        <v>670</v>
      </c>
      <c r="AE2" s="3" t="s">
        <v>671</v>
      </c>
      <c r="AF2" s="3" t="s">
        <v>672</v>
      </c>
      <c r="AG2" s="3" t="s">
        <v>666</v>
      </c>
      <c r="AH2" s="3" t="s">
        <v>673</v>
      </c>
      <c r="AI2" s="3" t="s">
        <v>674</v>
      </c>
      <c r="AJ2" s="3" t="s">
        <v>675</v>
      </c>
      <c r="AK2" s="3" t="s">
        <v>55</v>
      </c>
      <c r="AL2" s="3" t="s">
        <v>676</v>
      </c>
      <c r="AM2" s="3" t="s">
        <v>676</v>
      </c>
      <c r="AN2" s="3" t="s">
        <v>677</v>
      </c>
      <c r="AO2" s="3" t="s">
        <v>678</v>
      </c>
      <c r="AP2" s="3" t="s">
        <v>679</v>
      </c>
      <c r="AQ2" s="3" t="s">
        <v>680</v>
      </c>
      <c r="AR2" s="3" t="s">
        <v>681</v>
      </c>
      <c r="AS2" s="3" t="s">
        <v>682</v>
      </c>
      <c r="AT2" s="3" t="s">
        <v>666</v>
      </c>
      <c r="AU2" s="3" t="s">
        <v>683</v>
      </c>
      <c r="AV2" s="3" t="s">
        <v>684</v>
      </c>
      <c r="AW2" s="3" t="s">
        <v>685</v>
      </c>
      <c r="AX2" s="3" t="s">
        <v>686</v>
      </c>
      <c r="AY2" s="3" t="s">
        <v>687</v>
      </c>
      <c r="AZ2" s="3" t="s">
        <v>688</v>
      </c>
      <c r="BA2" s="3" t="s">
        <v>689</v>
      </c>
      <c r="BB2" s="3" t="s">
        <v>690</v>
      </c>
      <c r="BC2" s="3" t="s">
        <v>691</v>
      </c>
      <c r="BD2" s="3" t="s">
        <v>692</v>
      </c>
      <c r="BE2" s="3" t="s">
        <v>687</v>
      </c>
      <c r="BF2" s="3" t="s">
        <v>693</v>
      </c>
      <c r="BG2" s="3" t="s">
        <v>691</v>
      </c>
      <c r="BH2" s="3" t="s">
        <v>694</v>
      </c>
      <c r="BI2" s="3" t="s">
        <v>695</v>
      </c>
      <c r="BJ2" s="3" t="s">
        <v>666</v>
      </c>
      <c r="BK2" s="3" t="s">
        <v>696</v>
      </c>
      <c r="BL2" s="3" t="s">
        <v>697</v>
      </c>
      <c r="BM2" s="3" t="s">
        <v>698</v>
      </c>
      <c r="BN2" s="3" t="s">
        <v>699</v>
      </c>
      <c r="BO2" s="3" t="s">
        <v>700</v>
      </c>
      <c r="BP2" s="3" t="s">
        <v>701</v>
      </c>
      <c r="BQ2" s="3" t="s">
        <v>666</v>
      </c>
      <c r="BR2" s="3" t="s">
        <v>702</v>
      </c>
      <c r="BS2" s="3" t="s">
        <v>703</v>
      </c>
      <c r="BT2" s="3" t="s">
        <v>704</v>
      </c>
      <c r="BU2" s="3" t="s">
        <v>666</v>
      </c>
      <c r="BV2" s="3" t="s">
        <v>680</v>
      </c>
      <c r="BW2" s="3" t="s">
        <v>705</v>
      </c>
      <c r="BX2" s="3" t="s">
        <v>706</v>
      </c>
      <c r="BY2" s="3" t="s">
        <v>707</v>
      </c>
      <c r="BZ2" s="3" t="s">
        <v>708</v>
      </c>
      <c r="CA2" s="3" t="s">
        <v>57</v>
      </c>
      <c r="CB2" s="3" t="s">
        <v>709</v>
      </c>
      <c r="CC2" s="3" t="s">
        <v>710</v>
      </c>
      <c r="CD2"/>
    </row>
    <row r="3" spans="1:82" ht="118.75" customHeight="1">
      <c r="A3" s="3" t="s">
        <v>59</v>
      </c>
      <c r="B3" s="3" t="s">
        <v>711</v>
      </c>
      <c r="C3" s="3" t="s">
        <v>712</v>
      </c>
      <c r="D3" s="3" t="s">
        <v>713</v>
      </c>
      <c r="E3" s="3" t="s">
        <v>714</v>
      </c>
      <c r="F3" s="3" t="s">
        <v>61</v>
      </c>
      <c r="G3" s="3" t="s">
        <v>715</v>
      </c>
      <c r="H3" s="3" t="s">
        <v>716</v>
      </c>
      <c r="I3" s="3" t="s">
        <v>654</v>
      </c>
      <c r="J3" s="3" t="s">
        <v>655</v>
      </c>
      <c r="K3" s="3" t="s">
        <v>63</v>
      </c>
      <c r="L3" s="3" t="s">
        <v>656</v>
      </c>
      <c r="M3" s="3" t="s">
        <v>717</v>
      </c>
      <c r="N3" s="3" t="s">
        <v>62</v>
      </c>
      <c r="O3" s="3" t="s">
        <v>718</v>
      </c>
      <c r="P3" s="3" t="s">
        <v>719</v>
      </c>
      <c r="Q3" s="3" t="s">
        <v>660</v>
      </c>
      <c r="R3" s="3" t="s">
        <v>720</v>
      </c>
      <c r="S3" s="3" t="s">
        <v>721</v>
      </c>
      <c r="T3" s="3" t="s">
        <v>722</v>
      </c>
      <c r="U3" s="3" t="s">
        <v>723</v>
      </c>
      <c r="V3" s="3" t="s">
        <v>724</v>
      </c>
      <c r="W3" s="3" t="s">
        <v>725</v>
      </c>
      <c r="X3" s="3" t="s">
        <v>65</v>
      </c>
      <c r="Y3" s="3" t="s">
        <v>726</v>
      </c>
      <c r="Z3" s="3" t="s">
        <v>727</v>
      </c>
      <c r="AA3" s="3" t="s">
        <v>669</v>
      </c>
      <c r="AB3" s="3" t="s">
        <v>669</v>
      </c>
      <c r="AC3" s="3" t="s">
        <v>669</v>
      </c>
      <c r="AD3" s="3" t="s">
        <v>669</v>
      </c>
      <c r="AE3" s="3" t="s">
        <v>728</v>
      </c>
      <c r="AF3" s="3" t="s">
        <v>729</v>
      </c>
      <c r="AG3" s="3" t="s">
        <v>666</v>
      </c>
      <c r="AH3" s="3" t="s">
        <v>730</v>
      </c>
      <c r="AI3" s="3" t="s">
        <v>726</v>
      </c>
      <c r="AJ3" s="3" t="s">
        <v>731</v>
      </c>
      <c r="AK3" s="3" t="s">
        <v>67</v>
      </c>
      <c r="AL3" s="3" t="s">
        <v>666</v>
      </c>
      <c r="AM3" s="3" t="s">
        <v>666</v>
      </c>
      <c r="AN3" s="3" t="s">
        <v>732</v>
      </c>
      <c r="AO3" s="3" t="s">
        <v>690</v>
      </c>
      <c r="AP3" s="3" t="s">
        <v>691</v>
      </c>
      <c r="AQ3" s="3" t="s">
        <v>733</v>
      </c>
      <c r="AR3" s="3" t="s">
        <v>734</v>
      </c>
      <c r="AS3" s="3" t="s">
        <v>734</v>
      </c>
      <c r="AT3" s="3" t="s">
        <v>733</v>
      </c>
      <c r="AU3" s="3" t="s">
        <v>734</v>
      </c>
      <c r="AV3" s="3" t="s">
        <v>735</v>
      </c>
      <c r="AW3" s="3" t="s">
        <v>736</v>
      </c>
      <c r="AX3" s="3" t="s">
        <v>737</v>
      </c>
      <c r="AY3" s="3" t="s">
        <v>687</v>
      </c>
      <c r="AZ3" s="3" t="s">
        <v>738</v>
      </c>
      <c r="BA3" s="3" t="s">
        <v>739</v>
      </c>
      <c r="BB3" s="3" t="s">
        <v>690</v>
      </c>
      <c r="BC3" s="3" t="s">
        <v>691</v>
      </c>
      <c r="BD3" s="3" t="s">
        <v>690</v>
      </c>
      <c r="BE3" s="3" t="s">
        <v>691</v>
      </c>
      <c r="BF3" s="3" t="s">
        <v>740</v>
      </c>
      <c r="BG3" s="3" t="s">
        <v>741</v>
      </c>
      <c r="BH3" s="3" t="s">
        <v>742</v>
      </c>
      <c r="BI3" s="3" t="s">
        <v>743</v>
      </c>
      <c r="BJ3" s="3" t="s">
        <v>666</v>
      </c>
      <c r="BK3" s="3" t="s">
        <v>744</v>
      </c>
      <c r="BL3" s="3" t="s">
        <v>745</v>
      </c>
      <c r="BM3" s="3" t="s">
        <v>746</v>
      </c>
      <c r="BN3" s="3" t="s">
        <v>747</v>
      </c>
      <c r="BO3" s="3" t="s">
        <v>748</v>
      </c>
      <c r="BP3" s="3" t="s">
        <v>561</v>
      </c>
      <c r="BQ3" s="3" t="s">
        <v>749</v>
      </c>
      <c r="BR3" s="3" t="s">
        <v>750</v>
      </c>
      <c r="BS3" s="3" t="s">
        <v>703</v>
      </c>
      <c r="BT3" s="3" t="s">
        <v>751</v>
      </c>
      <c r="BU3" s="3" t="s">
        <v>666</v>
      </c>
      <c r="BV3" s="3" t="s">
        <v>680</v>
      </c>
      <c r="BW3" s="3" t="s">
        <v>705</v>
      </c>
      <c r="BX3" s="3" t="s">
        <v>752</v>
      </c>
      <c r="BY3" s="3" t="s">
        <v>753</v>
      </c>
      <c r="BZ3" s="3" t="s">
        <v>754</v>
      </c>
      <c r="CA3" s="3" t="s">
        <v>69</v>
      </c>
      <c r="CB3" s="3" t="s">
        <v>755</v>
      </c>
      <c r="CC3" s="3" t="s">
        <v>756</v>
      </c>
      <c r="CD3"/>
    </row>
    <row r="4" spans="1:82" ht="132" customHeight="1">
      <c r="A4" s="3" t="s">
        <v>71</v>
      </c>
      <c r="B4" s="3" t="s">
        <v>757</v>
      </c>
      <c r="C4" s="3" t="s">
        <v>758</v>
      </c>
      <c r="D4" s="3" t="s">
        <v>759</v>
      </c>
      <c r="E4" s="3" t="s">
        <v>714</v>
      </c>
      <c r="F4" s="3" t="s">
        <v>73</v>
      </c>
      <c r="G4" s="3" t="s">
        <v>760</v>
      </c>
      <c r="H4" s="3" t="s">
        <v>761</v>
      </c>
      <c r="I4" s="3" t="s">
        <v>654</v>
      </c>
      <c r="J4" s="3" t="s">
        <v>655</v>
      </c>
      <c r="K4" s="3" t="s">
        <v>75</v>
      </c>
      <c r="L4" s="3" t="s">
        <v>762</v>
      </c>
      <c r="M4" s="3" t="s">
        <v>763</v>
      </c>
      <c r="N4" s="3" t="s">
        <v>74</v>
      </c>
      <c r="O4" s="3" t="s">
        <v>764</v>
      </c>
      <c r="P4" s="3" t="s">
        <v>765</v>
      </c>
      <c r="Q4" s="3" t="s">
        <v>766</v>
      </c>
      <c r="R4" s="3" t="s">
        <v>767</v>
      </c>
      <c r="S4" s="3" t="s">
        <v>768</v>
      </c>
      <c r="T4" s="3" t="s">
        <v>769</v>
      </c>
      <c r="U4" s="3" t="s">
        <v>770</v>
      </c>
      <c r="V4" s="3" t="s">
        <v>771</v>
      </c>
      <c r="W4" s="3" t="s">
        <v>772</v>
      </c>
      <c r="X4" s="3" t="s">
        <v>65</v>
      </c>
      <c r="Y4" s="3" t="s">
        <v>773</v>
      </c>
      <c r="Z4" s="3" t="s">
        <v>774</v>
      </c>
      <c r="AA4" s="3" t="s">
        <v>775</v>
      </c>
      <c r="AB4" s="3" t="s">
        <v>776</v>
      </c>
      <c r="AC4" s="3" t="s">
        <v>777</v>
      </c>
      <c r="AD4" s="3" t="s">
        <v>778</v>
      </c>
      <c r="AE4" s="3" t="s">
        <v>728</v>
      </c>
      <c r="AF4" s="3" t="s">
        <v>779</v>
      </c>
      <c r="AG4" s="3" t="s">
        <v>666</v>
      </c>
      <c r="AH4" s="3" t="s">
        <v>780</v>
      </c>
      <c r="AI4" s="3" t="s">
        <v>773</v>
      </c>
      <c r="AJ4" s="3" t="s">
        <v>781</v>
      </c>
      <c r="AK4" s="3" t="s">
        <v>55</v>
      </c>
      <c r="AL4" s="3" t="s">
        <v>666</v>
      </c>
      <c r="AM4" s="3" t="s">
        <v>666</v>
      </c>
      <c r="AN4" s="3" t="s">
        <v>782</v>
      </c>
      <c r="AO4" s="3" t="s">
        <v>783</v>
      </c>
      <c r="AP4" s="3" t="s">
        <v>784</v>
      </c>
      <c r="AQ4" s="3" t="s">
        <v>785</v>
      </c>
      <c r="AR4" s="3" t="s">
        <v>786</v>
      </c>
      <c r="AS4" s="3" t="s">
        <v>787</v>
      </c>
      <c r="AT4" s="3" t="s">
        <v>666</v>
      </c>
      <c r="AU4" s="3" t="s">
        <v>788</v>
      </c>
      <c r="AV4" s="3" t="s">
        <v>789</v>
      </c>
      <c r="AW4" s="3" t="s">
        <v>690</v>
      </c>
      <c r="AX4" s="3" t="s">
        <v>790</v>
      </c>
      <c r="AY4" s="3" t="s">
        <v>691</v>
      </c>
      <c r="AZ4" s="3" t="s">
        <v>733</v>
      </c>
      <c r="BA4" s="3" t="s">
        <v>790</v>
      </c>
      <c r="BB4" s="3" t="s">
        <v>690</v>
      </c>
      <c r="BC4" s="3" t="s">
        <v>691</v>
      </c>
      <c r="BD4" s="3" t="s">
        <v>690</v>
      </c>
      <c r="BE4" s="3" t="s">
        <v>691</v>
      </c>
      <c r="BF4" s="3" t="s">
        <v>791</v>
      </c>
      <c r="BG4" s="3" t="s">
        <v>691</v>
      </c>
      <c r="BH4" s="3" t="s">
        <v>792</v>
      </c>
      <c r="BI4" s="3" t="s">
        <v>793</v>
      </c>
      <c r="BJ4" s="3" t="s">
        <v>794</v>
      </c>
      <c r="BK4" s="3" t="s">
        <v>795</v>
      </c>
      <c r="BL4" s="3" t="s">
        <v>796</v>
      </c>
      <c r="BM4" s="3" t="s">
        <v>797</v>
      </c>
      <c r="BN4" s="3" t="s">
        <v>798</v>
      </c>
      <c r="BO4" s="3" t="s">
        <v>799</v>
      </c>
      <c r="BP4" s="3" t="s">
        <v>701</v>
      </c>
      <c r="BQ4" s="3" t="s">
        <v>666</v>
      </c>
      <c r="BR4" s="3" t="s">
        <v>800</v>
      </c>
      <c r="BS4" s="3" t="s">
        <v>679</v>
      </c>
      <c r="BT4" s="3" t="s">
        <v>801</v>
      </c>
      <c r="BU4" s="3" t="s">
        <v>666</v>
      </c>
      <c r="BV4" s="3" t="s">
        <v>680</v>
      </c>
      <c r="BW4" s="3" t="s">
        <v>705</v>
      </c>
      <c r="BX4" s="3" t="s">
        <v>802</v>
      </c>
      <c r="BY4" s="3" t="s">
        <v>803</v>
      </c>
      <c r="BZ4" s="3" t="s">
        <v>804</v>
      </c>
      <c r="CA4" s="3" t="s">
        <v>79</v>
      </c>
      <c r="CB4" s="3" t="s">
        <v>805</v>
      </c>
      <c r="CC4" s="3" t="s">
        <v>806</v>
      </c>
      <c r="CD4"/>
    </row>
    <row r="5" spans="1:82" ht="145.25" customHeight="1">
      <c r="A5" s="3" t="s">
        <v>80</v>
      </c>
      <c r="B5" s="3" t="s">
        <v>807</v>
      </c>
      <c r="C5" s="3" t="s">
        <v>808</v>
      </c>
      <c r="D5" s="3" t="s">
        <v>809</v>
      </c>
      <c r="E5" s="3" t="s">
        <v>810</v>
      </c>
      <c r="F5" s="3" t="s">
        <v>82</v>
      </c>
      <c r="G5" s="3" t="s">
        <v>811</v>
      </c>
      <c r="H5" s="3" t="s">
        <v>812</v>
      </c>
      <c r="I5" s="3" t="s">
        <v>654</v>
      </c>
      <c r="J5" s="3" t="s">
        <v>655</v>
      </c>
      <c r="K5" s="3" t="s">
        <v>84</v>
      </c>
      <c r="L5" s="3" t="s">
        <v>656</v>
      </c>
      <c r="M5" s="3" t="s">
        <v>813</v>
      </c>
      <c r="N5" s="3" t="s">
        <v>83</v>
      </c>
      <c r="O5" s="3" t="s">
        <v>814</v>
      </c>
      <c r="P5" s="3" t="s">
        <v>815</v>
      </c>
      <c r="Q5" s="3" t="s">
        <v>660</v>
      </c>
      <c r="R5" s="3" t="s">
        <v>816</v>
      </c>
      <c r="S5" s="3" t="s">
        <v>817</v>
      </c>
      <c r="T5" s="3" t="s">
        <v>818</v>
      </c>
      <c r="U5" s="3" t="s">
        <v>819</v>
      </c>
      <c r="V5" s="3" t="s">
        <v>820</v>
      </c>
      <c r="W5" s="3" t="s">
        <v>725</v>
      </c>
      <c r="X5" s="3" t="s">
        <v>65</v>
      </c>
      <c r="Y5" s="3" t="s">
        <v>821</v>
      </c>
      <c r="Z5" s="3" t="s">
        <v>822</v>
      </c>
      <c r="AA5" s="3" t="s">
        <v>823</v>
      </c>
      <c r="AB5" s="3" t="s">
        <v>824</v>
      </c>
      <c r="AC5" s="3" t="s">
        <v>824</v>
      </c>
      <c r="AD5" s="3" t="s">
        <v>824</v>
      </c>
      <c r="AE5" s="3" t="s">
        <v>728</v>
      </c>
      <c r="AF5" s="3" t="s">
        <v>825</v>
      </c>
      <c r="AG5" s="3" t="s">
        <v>666</v>
      </c>
      <c r="AH5" s="3" t="s">
        <v>673</v>
      </c>
      <c r="AI5" s="3" t="s">
        <v>826</v>
      </c>
      <c r="AJ5" s="3" t="s">
        <v>827</v>
      </c>
      <c r="AK5" s="3" t="s">
        <v>55</v>
      </c>
      <c r="AL5" s="3" t="s">
        <v>666</v>
      </c>
      <c r="AM5" s="3" t="s">
        <v>828</v>
      </c>
      <c r="AN5" s="3" t="s">
        <v>829</v>
      </c>
      <c r="AO5" s="3" t="s">
        <v>690</v>
      </c>
      <c r="AP5" s="3" t="s">
        <v>691</v>
      </c>
      <c r="AQ5" s="3" t="s">
        <v>733</v>
      </c>
      <c r="AR5" s="3" t="s">
        <v>734</v>
      </c>
      <c r="AS5" s="3" t="s">
        <v>734</v>
      </c>
      <c r="AT5" s="3" t="s">
        <v>733</v>
      </c>
      <c r="AU5" s="3" t="s">
        <v>734</v>
      </c>
      <c r="AV5" s="3" t="s">
        <v>830</v>
      </c>
      <c r="AW5" s="3" t="s">
        <v>831</v>
      </c>
      <c r="AX5" s="3" t="s">
        <v>832</v>
      </c>
      <c r="AY5" s="3" t="s">
        <v>687</v>
      </c>
      <c r="AZ5" s="3" t="s">
        <v>833</v>
      </c>
      <c r="BA5" s="3" t="s">
        <v>834</v>
      </c>
      <c r="BB5" s="3" t="s">
        <v>690</v>
      </c>
      <c r="BC5" s="3" t="s">
        <v>691</v>
      </c>
      <c r="BD5" s="3" t="s">
        <v>690</v>
      </c>
      <c r="BE5" s="3" t="s">
        <v>691</v>
      </c>
      <c r="BF5" s="3" t="s">
        <v>835</v>
      </c>
      <c r="BG5" s="3" t="s">
        <v>687</v>
      </c>
      <c r="BH5" s="3" t="s">
        <v>836</v>
      </c>
      <c r="BI5" s="3" t="s">
        <v>837</v>
      </c>
      <c r="BJ5" s="3" t="s">
        <v>666</v>
      </c>
      <c r="BK5" s="3" t="s">
        <v>838</v>
      </c>
      <c r="BL5" s="3" t="s">
        <v>839</v>
      </c>
      <c r="BM5" s="3" t="s">
        <v>840</v>
      </c>
      <c r="BN5" s="3" t="s">
        <v>841</v>
      </c>
      <c r="BO5" s="3" t="s">
        <v>842</v>
      </c>
      <c r="BP5" s="3" t="s">
        <v>701</v>
      </c>
      <c r="BQ5" s="3" t="s">
        <v>666</v>
      </c>
      <c r="BR5" s="3" t="s">
        <v>843</v>
      </c>
      <c r="BS5" s="3" t="s">
        <v>703</v>
      </c>
      <c r="BT5" s="3" t="s">
        <v>844</v>
      </c>
      <c r="BU5" s="3" t="s">
        <v>666</v>
      </c>
      <c r="BV5" s="3" t="s">
        <v>680</v>
      </c>
      <c r="BW5" s="3" t="s">
        <v>705</v>
      </c>
      <c r="BX5" s="3" t="s">
        <v>845</v>
      </c>
      <c r="BY5" s="3" t="s">
        <v>846</v>
      </c>
      <c r="BZ5" s="3" t="s">
        <v>847</v>
      </c>
      <c r="CA5" s="3" t="s">
        <v>848</v>
      </c>
      <c r="CB5" s="3" t="s">
        <v>849</v>
      </c>
      <c r="CC5" s="3" t="s">
        <v>850</v>
      </c>
      <c r="CD5"/>
    </row>
    <row r="6" spans="1:82" ht="118.75" customHeight="1">
      <c r="A6" s="3" t="s">
        <v>89</v>
      </c>
      <c r="B6" s="3" t="s">
        <v>851</v>
      </c>
      <c r="C6" s="3" t="s">
        <v>852</v>
      </c>
      <c r="D6" s="3" t="s">
        <v>853</v>
      </c>
      <c r="E6" s="3" t="s">
        <v>854</v>
      </c>
      <c r="F6" s="3" t="s">
        <v>91</v>
      </c>
      <c r="G6" s="3" t="s">
        <v>855</v>
      </c>
      <c r="H6" s="3" t="s">
        <v>856</v>
      </c>
      <c r="I6" s="3" t="s">
        <v>654</v>
      </c>
      <c r="J6" s="3" t="s">
        <v>655</v>
      </c>
      <c r="K6" s="3" t="s">
        <v>93</v>
      </c>
      <c r="L6" s="3" t="s">
        <v>857</v>
      </c>
      <c r="M6" s="3" t="s">
        <v>858</v>
      </c>
      <c r="N6" s="3" t="s">
        <v>92</v>
      </c>
      <c r="O6" s="3" t="s">
        <v>859</v>
      </c>
      <c r="P6" s="3" t="s">
        <v>860</v>
      </c>
      <c r="Q6" s="3" t="s">
        <v>861</v>
      </c>
      <c r="R6" s="3" t="s">
        <v>862</v>
      </c>
      <c r="S6" s="3" t="s">
        <v>863</v>
      </c>
      <c r="T6" s="3" t="s">
        <v>864</v>
      </c>
      <c r="U6" s="3" t="s">
        <v>865</v>
      </c>
      <c r="V6" s="3" t="s">
        <v>866</v>
      </c>
      <c r="W6" s="3" t="s">
        <v>867</v>
      </c>
      <c r="X6" s="3" t="s">
        <v>95</v>
      </c>
      <c r="Y6" s="3" t="s">
        <v>868</v>
      </c>
      <c r="Z6" s="3" t="s">
        <v>869</v>
      </c>
      <c r="AA6" s="3" t="s">
        <v>870</v>
      </c>
      <c r="AB6" s="3" t="s">
        <v>871</v>
      </c>
      <c r="AC6" s="3" t="s">
        <v>871</v>
      </c>
      <c r="AD6" s="3" t="s">
        <v>872</v>
      </c>
      <c r="AE6" s="3" t="s">
        <v>728</v>
      </c>
      <c r="AF6" s="3" t="s">
        <v>873</v>
      </c>
      <c r="AG6" s="3" t="s">
        <v>666</v>
      </c>
      <c r="AH6" s="3" t="s">
        <v>874</v>
      </c>
      <c r="AI6" s="3" t="s">
        <v>868</v>
      </c>
      <c r="AJ6" s="3" t="s">
        <v>875</v>
      </c>
      <c r="AK6" s="3" t="s">
        <v>55</v>
      </c>
      <c r="AL6" s="3" t="s">
        <v>666</v>
      </c>
      <c r="AM6" s="3" t="s">
        <v>666</v>
      </c>
      <c r="AN6" s="3" t="s">
        <v>876</v>
      </c>
      <c r="AO6" s="3" t="s">
        <v>877</v>
      </c>
      <c r="AP6" s="3" t="s">
        <v>878</v>
      </c>
      <c r="AQ6" s="3" t="s">
        <v>879</v>
      </c>
      <c r="AR6" s="3" t="s">
        <v>880</v>
      </c>
      <c r="AS6" s="3" t="s">
        <v>881</v>
      </c>
      <c r="AT6" s="3" t="s">
        <v>733</v>
      </c>
      <c r="AU6" s="3" t="s">
        <v>882</v>
      </c>
      <c r="AV6" s="3" t="s">
        <v>883</v>
      </c>
      <c r="AW6" s="3" t="s">
        <v>884</v>
      </c>
      <c r="AX6" s="3" t="s">
        <v>885</v>
      </c>
      <c r="AY6" s="3" t="s">
        <v>886</v>
      </c>
      <c r="AZ6" s="3" t="s">
        <v>887</v>
      </c>
      <c r="BA6" s="3" t="s">
        <v>888</v>
      </c>
      <c r="BB6" s="3" t="s">
        <v>690</v>
      </c>
      <c r="BC6" s="3" t="s">
        <v>691</v>
      </c>
      <c r="BD6" s="3" t="s">
        <v>690</v>
      </c>
      <c r="BE6" s="3" t="s">
        <v>691</v>
      </c>
      <c r="BF6" s="3" t="s">
        <v>690</v>
      </c>
      <c r="BG6" s="3" t="s">
        <v>691</v>
      </c>
      <c r="BH6" s="3" t="s">
        <v>889</v>
      </c>
      <c r="BI6" s="3" t="s">
        <v>890</v>
      </c>
      <c r="BJ6" s="3" t="s">
        <v>766</v>
      </c>
      <c r="BK6" s="3" t="s">
        <v>696</v>
      </c>
      <c r="BL6" s="3" t="s">
        <v>891</v>
      </c>
      <c r="BM6" s="3" t="s">
        <v>892</v>
      </c>
      <c r="BN6" s="3" t="s">
        <v>669</v>
      </c>
      <c r="BO6" s="3" t="s">
        <v>799</v>
      </c>
      <c r="BP6" s="3" t="s">
        <v>701</v>
      </c>
      <c r="BQ6" s="3" t="s">
        <v>666</v>
      </c>
      <c r="BR6" s="3" t="s">
        <v>893</v>
      </c>
      <c r="BS6" s="3" t="s">
        <v>766</v>
      </c>
      <c r="BT6" s="3" t="s">
        <v>894</v>
      </c>
      <c r="BU6" s="3" t="s">
        <v>666</v>
      </c>
      <c r="BV6" s="3" t="s">
        <v>680</v>
      </c>
      <c r="BW6" s="3" t="s">
        <v>705</v>
      </c>
      <c r="BX6" s="3" t="s">
        <v>895</v>
      </c>
      <c r="BY6" s="3" t="s">
        <v>896</v>
      </c>
      <c r="BZ6" s="3" t="s">
        <v>897</v>
      </c>
      <c r="CA6" s="3" t="s">
        <v>98</v>
      </c>
      <c r="CB6" s="3" t="s">
        <v>669</v>
      </c>
      <c r="CC6" s="3" t="s">
        <v>898</v>
      </c>
      <c r="CD6"/>
    </row>
    <row r="7" spans="1:82" ht="113.25" customHeight="1">
      <c r="A7" s="3" t="s">
        <v>99</v>
      </c>
      <c r="B7" s="3" t="s">
        <v>899</v>
      </c>
      <c r="C7" s="3" t="s">
        <v>900</v>
      </c>
      <c r="D7" s="3" t="s">
        <v>901</v>
      </c>
      <c r="E7" s="3" t="s">
        <v>902</v>
      </c>
      <c r="F7" s="3" t="s">
        <v>101</v>
      </c>
      <c r="G7" s="3" t="s">
        <v>903</v>
      </c>
      <c r="H7" s="3" t="s">
        <v>904</v>
      </c>
      <c r="I7" s="3" t="s">
        <v>654</v>
      </c>
      <c r="J7" s="3" t="s">
        <v>655</v>
      </c>
      <c r="K7" s="3" t="s">
        <v>103</v>
      </c>
      <c r="L7" s="3" t="s">
        <v>656</v>
      </c>
      <c r="M7" s="3" t="s">
        <v>763</v>
      </c>
      <c r="N7" s="3" t="s">
        <v>102</v>
      </c>
      <c r="O7" s="3" t="s">
        <v>905</v>
      </c>
      <c r="P7" s="3" t="s">
        <v>906</v>
      </c>
      <c r="Q7" s="3" t="s">
        <v>660</v>
      </c>
      <c r="R7" s="3" t="s">
        <v>907</v>
      </c>
      <c r="S7" s="3" t="s">
        <v>908</v>
      </c>
      <c r="T7" s="3" t="s">
        <v>909</v>
      </c>
      <c r="U7" s="3" t="s">
        <v>910</v>
      </c>
      <c r="V7" s="3" t="s">
        <v>911</v>
      </c>
      <c r="W7" s="3" t="s">
        <v>912</v>
      </c>
      <c r="X7" s="3" t="s">
        <v>65</v>
      </c>
      <c r="Y7" s="3" t="s">
        <v>913</v>
      </c>
      <c r="Z7" s="3" t="s">
        <v>914</v>
      </c>
      <c r="AA7" s="3" t="s">
        <v>669</v>
      </c>
      <c r="AB7" s="3" t="s">
        <v>669</v>
      </c>
      <c r="AC7" s="3" t="s">
        <v>669</v>
      </c>
      <c r="AD7" s="3" t="s">
        <v>669</v>
      </c>
      <c r="AE7" s="3" t="s">
        <v>728</v>
      </c>
      <c r="AF7" s="3" t="s">
        <v>915</v>
      </c>
      <c r="AG7" s="3" t="s">
        <v>666</v>
      </c>
      <c r="AH7" s="3" t="s">
        <v>916</v>
      </c>
      <c r="AI7" s="3" t="s">
        <v>917</v>
      </c>
      <c r="AJ7" s="3" t="s">
        <v>918</v>
      </c>
      <c r="AK7" s="3" t="s">
        <v>55</v>
      </c>
      <c r="AL7" s="3" t="s">
        <v>919</v>
      </c>
      <c r="AM7" s="3" t="s">
        <v>920</v>
      </c>
      <c r="AN7" s="3" t="s">
        <v>921</v>
      </c>
      <c r="AO7" s="3" t="s">
        <v>922</v>
      </c>
      <c r="AP7" s="3" t="s">
        <v>679</v>
      </c>
      <c r="AQ7" s="3" t="s">
        <v>923</v>
      </c>
      <c r="AR7" s="3" t="s">
        <v>924</v>
      </c>
      <c r="AS7" s="3" t="s">
        <v>925</v>
      </c>
      <c r="AT7" s="3" t="s">
        <v>666</v>
      </c>
      <c r="AU7" s="3" t="s">
        <v>926</v>
      </c>
      <c r="AV7" s="3" t="s">
        <v>927</v>
      </c>
      <c r="AW7" s="3" t="s">
        <v>928</v>
      </c>
      <c r="AX7" s="3" t="s">
        <v>929</v>
      </c>
      <c r="AY7" s="3" t="s">
        <v>687</v>
      </c>
      <c r="AZ7" s="3" t="s">
        <v>930</v>
      </c>
      <c r="BA7" s="3" t="s">
        <v>931</v>
      </c>
      <c r="BB7" s="3" t="s">
        <v>690</v>
      </c>
      <c r="BC7" s="3" t="s">
        <v>691</v>
      </c>
      <c r="BD7" s="3" t="s">
        <v>932</v>
      </c>
      <c r="BE7" s="3" t="s">
        <v>933</v>
      </c>
      <c r="BF7" s="3" t="s">
        <v>934</v>
      </c>
      <c r="BG7" s="3" t="s">
        <v>691</v>
      </c>
      <c r="BH7" s="3" t="s">
        <v>935</v>
      </c>
      <c r="BI7" s="3" t="s">
        <v>936</v>
      </c>
      <c r="BJ7" s="3" t="s">
        <v>937</v>
      </c>
      <c r="BK7" s="3" t="s">
        <v>696</v>
      </c>
      <c r="BL7" s="3" t="s">
        <v>938</v>
      </c>
      <c r="BM7" s="3" t="s">
        <v>939</v>
      </c>
      <c r="BN7" s="3" t="s">
        <v>940</v>
      </c>
      <c r="BO7" s="3" t="s">
        <v>799</v>
      </c>
      <c r="BP7" s="3" t="s">
        <v>701</v>
      </c>
      <c r="BQ7" s="3" t="s">
        <v>666</v>
      </c>
      <c r="BR7" s="3" t="s">
        <v>941</v>
      </c>
      <c r="BS7" s="3" t="s">
        <v>703</v>
      </c>
      <c r="BT7" s="3" t="s">
        <v>942</v>
      </c>
      <c r="BU7" s="3" t="s">
        <v>666</v>
      </c>
      <c r="BV7" s="3" t="s">
        <v>943</v>
      </c>
      <c r="BW7" s="3" t="s">
        <v>705</v>
      </c>
      <c r="BX7" s="3" t="s">
        <v>944</v>
      </c>
      <c r="BY7" s="3" t="s">
        <v>945</v>
      </c>
      <c r="BZ7" s="3" t="s">
        <v>946</v>
      </c>
      <c r="CA7" s="3" t="s">
        <v>107</v>
      </c>
      <c r="CB7" s="3" t="s">
        <v>947</v>
      </c>
      <c r="CC7" s="3" t="s">
        <v>850</v>
      </c>
      <c r="CD7"/>
    </row>
    <row r="8" spans="1:82" ht="121.25" customHeight="1">
      <c r="A8" s="3" t="s">
        <v>108</v>
      </c>
      <c r="B8" s="3" t="s">
        <v>948</v>
      </c>
      <c r="C8" s="3" t="s">
        <v>949</v>
      </c>
      <c r="D8" s="3" t="s">
        <v>950</v>
      </c>
      <c r="E8" s="3" t="s">
        <v>902</v>
      </c>
      <c r="F8" s="3" t="s">
        <v>109</v>
      </c>
      <c r="G8" s="3" t="s">
        <v>903</v>
      </c>
      <c r="H8" s="3" t="s">
        <v>951</v>
      </c>
      <c r="I8" s="3" t="s">
        <v>654</v>
      </c>
      <c r="J8" s="3" t="s">
        <v>655</v>
      </c>
      <c r="K8" s="3" t="s">
        <v>75</v>
      </c>
      <c r="L8" s="3" t="s">
        <v>656</v>
      </c>
      <c r="M8" s="3" t="s">
        <v>763</v>
      </c>
      <c r="N8" s="3" t="s">
        <v>110</v>
      </c>
      <c r="O8" s="3" t="s">
        <v>952</v>
      </c>
      <c r="P8" s="3" t="s">
        <v>953</v>
      </c>
      <c r="Q8" s="3" t="s">
        <v>660</v>
      </c>
      <c r="R8" s="3" t="s">
        <v>954</v>
      </c>
      <c r="S8" s="3" t="s">
        <v>955</v>
      </c>
      <c r="T8" s="3" t="s">
        <v>956</v>
      </c>
      <c r="U8" s="3" t="s">
        <v>957</v>
      </c>
      <c r="V8" s="3" t="s">
        <v>958</v>
      </c>
      <c r="W8" s="3" t="s">
        <v>725</v>
      </c>
      <c r="X8" s="3" t="s">
        <v>65</v>
      </c>
      <c r="Y8" s="3" t="s">
        <v>959</v>
      </c>
      <c r="Z8" s="3" t="s">
        <v>960</v>
      </c>
      <c r="AA8" s="3" t="s">
        <v>669</v>
      </c>
      <c r="AB8" s="3" t="s">
        <v>669</v>
      </c>
      <c r="AC8" s="3" t="s">
        <v>669</v>
      </c>
      <c r="AD8" s="3" t="s">
        <v>669</v>
      </c>
      <c r="AE8" s="3" t="s">
        <v>728</v>
      </c>
      <c r="AF8" s="3" t="s">
        <v>961</v>
      </c>
      <c r="AG8" s="3" t="s">
        <v>666</v>
      </c>
      <c r="AH8" s="3" t="s">
        <v>916</v>
      </c>
      <c r="AI8" s="3" t="s">
        <v>959</v>
      </c>
      <c r="AJ8" s="3" t="s">
        <v>962</v>
      </c>
      <c r="AK8" s="3" t="s">
        <v>67</v>
      </c>
      <c r="AL8" s="3" t="s">
        <v>963</v>
      </c>
      <c r="AM8" s="3" t="s">
        <v>666</v>
      </c>
      <c r="AN8" s="3" t="s">
        <v>964</v>
      </c>
      <c r="AO8" s="3" t="s">
        <v>965</v>
      </c>
      <c r="AP8" s="3" t="s">
        <v>679</v>
      </c>
      <c r="AQ8" s="3" t="s">
        <v>966</v>
      </c>
      <c r="AR8" s="3" t="s">
        <v>967</v>
      </c>
      <c r="AS8" s="3" t="s">
        <v>968</v>
      </c>
      <c r="AT8" s="3" t="s">
        <v>666</v>
      </c>
      <c r="AU8" s="3" t="s">
        <v>969</v>
      </c>
      <c r="AV8" s="3" t="s">
        <v>970</v>
      </c>
      <c r="AW8" s="3" t="s">
        <v>690</v>
      </c>
      <c r="AX8" s="3" t="s">
        <v>790</v>
      </c>
      <c r="AY8" s="3" t="s">
        <v>691</v>
      </c>
      <c r="AZ8" s="3" t="s">
        <v>733</v>
      </c>
      <c r="BA8" s="3" t="s">
        <v>790</v>
      </c>
      <c r="BB8" s="3" t="s">
        <v>690</v>
      </c>
      <c r="BC8" s="3" t="s">
        <v>691</v>
      </c>
      <c r="BD8" s="3" t="s">
        <v>690</v>
      </c>
      <c r="BE8" s="3" t="s">
        <v>691</v>
      </c>
      <c r="BF8" s="3" t="s">
        <v>971</v>
      </c>
      <c r="BG8" s="3" t="s">
        <v>691</v>
      </c>
      <c r="BH8" s="3" t="s">
        <v>972</v>
      </c>
      <c r="BI8" s="3" t="s">
        <v>973</v>
      </c>
      <c r="BJ8" s="3" t="s">
        <v>974</v>
      </c>
      <c r="BK8" s="3" t="s">
        <v>975</v>
      </c>
      <c r="BL8" s="3" t="s">
        <v>976</v>
      </c>
      <c r="BM8" s="3" t="s">
        <v>977</v>
      </c>
      <c r="BN8" s="3" t="s">
        <v>978</v>
      </c>
      <c r="BO8" s="3" t="s">
        <v>799</v>
      </c>
      <c r="BP8" s="3" t="s">
        <v>701</v>
      </c>
      <c r="BQ8" s="3" t="s">
        <v>666</v>
      </c>
      <c r="BR8" s="3" t="s">
        <v>979</v>
      </c>
      <c r="BS8" s="3" t="s">
        <v>980</v>
      </c>
      <c r="BT8" s="3" t="s">
        <v>981</v>
      </c>
      <c r="BU8" s="3" t="s">
        <v>982</v>
      </c>
      <c r="BV8" s="3" t="s">
        <v>680</v>
      </c>
      <c r="BW8" s="3" t="s">
        <v>705</v>
      </c>
      <c r="BX8" s="3" t="s">
        <v>983</v>
      </c>
      <c r="BY8" s="3" t="s">
        <v>984</v>
      </c>
      <c r="BZ8" s="3" t="s">
        <v>985</v>
      </c>
      <c r="CA8" s="3" t="s">
        <v>114</v>
      </c>
      <c r="CB8" s="3" t="s">
        <v>986</v>
      </c>
      <c r="CC8" s="3" t="s">
        <v>987</v>
      </c>
      <c r="CD8"/>
    </row>
    <row r="9" spans="1:82" ht="118.75" customHeight="1">
      <c r="A9" s="3" t="s">
        <v>115</v>
      </c>
      <c r="B9" s="3" t="s">
        <v>988</v>
      </c>
      <c r="C9" s="3" t="s">
        <v>989</v>
      </c>
      <c r="D9" s="3" t="s">
        <v>990</v>
      </c>
      <c r="E9" s="3" t="s">
        <v>902</v>
      </c>
      <c r="F9" s="3" t="s">
        <v>117</v>
      </c>
      <c r="G9" s="3" t="s">
        <v>991</v>
      </c>
      <c r="H9" s="3" t="s">
        <v>992</v>
      </c>
      <c r="I9" s="3" t="s">
        <v>654</v>
      </c>
      <c r="J9" s="3" t="s">
        <v>655</v>
      </c>
      <c r="K9" s="3" t="s">
        <v>93</v>
      </c>
      <c r="L9" s="3" t="s">
        <v>656</v>
      </c>
      <c r="M9" s="3" t="s">
        <v>993</v>
      </c>
      <c r="N9" s="3" t="s">
        <v>118</v>
      </c>
      <c r="O9" s="3" t="s">
        <v>994</v>
      </c>
      <c r="P9" s="3" t="s">
        <v>995</v>
      </c>
      <c r="Q9" s="3" t="s">
        <v>861</v>
      </c>
      <c r="R9" s="3" t="s">
        <v>996</v>
      </c>
      <c r="S9" s="3" t="s">
        <v>863</v>
      </c>
      <c r="T9" s="3" t="s">
        <v>997</v>
      </c>
      <c r="U9" s="3" t="s">
        <v>669</v>
      </c>
      <c r="V9" s="3" t="s">
        <v>998</v>
      </c>
      <c r="W9" s="3" t="s">
        <v>867</v>
      </c>
      <c r="X9" s="3" t="s">
        <v>120</v>
      </c>
      <c r="Y9" s="3" t="s">
        <v>999</v>
      </c>
      <c r="Z9" s="3" t="s">
        <v>1000</v>
      </c>
      <c r="AA9" s="3" t="s">
        <v>669</v>
      </c>
      <c r="AB9" s="3" t="s">
        <v>669</v>
      </c>
      <c r="AC9" s="3" t="s">
        <v>669</v>
      </c>
      <c r="AD9" s="3" t="s">
        <v>669</v>
      </c>
      <c r="AE9" s="3" t="s">
        <v>728</v>
      </c>
      <c r="AF9" s="3" t="s">
        <v>1001</v>
      </c>
      <c r="AG9" s="3" t="s">
        <v>666</v>
      </c>
      <c r="AH9" s="3" t="s">
        <v>1002</v>
      </c>
      <c r="AI9" s="3" t="s">
        <v>1003</v>
      </c>
      <c r="AJ9" s="3" t="s">
        <v>1004</v>
      </c>
      <c r="AK9" s="3" t="s">
        <v>55</v>
      </c>
      <c r="AL9" s="3" t="s">
        <v>666</v>
      </c>
      <c r="AM9" s="3" t="s">
        <v>666</v>
      </c>
      <c r="AN9" s="3" t="s">
        <v>1005</v>
      </c>
      <c r="AO9" s="3" t="s">
        <v>690</v>
      </c>
      <c r="AP9" s="3" t="s">
        <v>691</v>
      </c>
      <c r="AQ9" s="3" t="s">
        <v>733</v>
      </c>
      <c r="AR9" s="3" t="s">
        <v>734</v>
      </c>
      <c r="AS9" s="3" t="s">
        <v>734</v>
      </c>
      <c r="AT9" s="3" t="s">
        <v>733</v>
      </c>
      <c r="AU9" s="3" t="s">
        <v>734</v>
      </c>
      <c r="AV9" s="3" t="s">
        <v>1006</v>
      </c>
      <c r="AW9" s="3" t="s">
        <v>1007</v>
      </c>
      <c r="AX9" s="3" t="s">
        <v>1008</v>
      </c>
      <c r="AY9" s="3" t="s">
        <v>687</v>
      </c>
      <c r="AZ9" s="3" t="s">
        <v>666</v>
      </c>
      <c r="BA9" s="3" t="s">
        <v>1009</v>
      </c>
      <c r="BB9" s="3" t="s">
        <v>690</v>
      </c>
      <c r="BC9" s="3" t="s">
        <v>691</v>
      </c>
      <c r="BD9" s="3" t="s">
        <v>690</v>
      </c>
      <c r="BE9" s="3" t="s">
        <v>691</v>
      </c>
      <c r="BF9" s="3" t="s">
        <v>1010</v>
      </c>
      <c r="BG9" s="3" t="s">
        <v>1011</v>
      </c>
      <c r="BH9" s="3" t="s">
        <v>1012</v>
      </c>
      <c r="BI9" s="3" t="s">
        <v>1013</v>
      </c>
      <c r="BJ9" s="3" t="s">
        <v>666</v>
      </c>
      <c r="BK9" s="3" t="s">
        <v>1014</v>
      </c>
      <c r="BL9" s="3" t="s">
        <v>1015</v>
      </c>
      <c r="BM9" s="3" t="s">
        <v>1016</v>
      </c>
      <c r="BN9" s="3" t="s">
        <v>1017</v>
      </c>
      <c r="BO9" s="3" t="s">
        <v>799</v>
      </c>
      <c r="BP9" s="3" t="s">
        <v>701</v>
      </c>
      <c r="BQ9" s="3" t="s">
        <v>666</v>
      </c>
      <c r="BR9" s="3" t="s">
        <v>1018</v>
      </c>
      <c r="BS9" s="3" t="s">
        <v>703</v>
      </c>
      <c r="BT9" s="3" t="s">
        <v>1019</v>
      </c>
      <c r="BU9" s="3" t="s">
        <v>666</v>
      </c>
      <c r="BV9" s="3" t="s">
        <v>680</v>
      </c>
      <c r="BW9" s="3" t="s">
        <v>705</v>
      </c>
      <c r="BX9" s="3" t="s">
        <v>1020</v>
      </c>
      <c r="BY9" s="3" t="s">
        <v>1021</v>
      </c>
      <c r="BZ9" s="3" t="s">
        <v>1022</v>
      </c>
      <c r="CA9" s="3" t="s">
        <v>123</v>
      </c>
      <c r="CB9" s="3" t="s">
        <v>669</v>
      </c>
      <c r="CC9" s="3" t="s">
        <v>1023</v>
      </c>
      <c r="CD9"/>
    </row>
    <row r="10" spans="1:82" ht="172" customHeight="1">
      <c r="A10" s="3" t="s">
        <v>124</v>
      </c>
      <c r="B10" s="3" t="s">
        <v>1024</v>
      </c>
      <c r="C10" s="3" t="s">
        <v>1025</v>
      </c>
      <c r="D10" s="3" t="s">
        <v>1026</v>
      </c>
      <c r="E10" s="3" t="s">
        <v>902</v>
      </c>
      <c r="F10" s="3" t="s">
        <v>126</v>
      </c>
      <c r="G10" s="3" t="s">
        <v>1027</v>
      </c>
      <c r="H10" s="3" t="s">
        <v>1028</v>
      </c>
      <c r="I10" s="3" t="s">
        <v>654</v>
      </c>
      <c r="J10" s="3" t="s">
        <v>1029</v>
      </c>
      <c r="K10" s="3" t="s">
        <v>84</v>
      </c>
      <c r="L10" s="3" t="s">
        <v>656</v>
      </c>
      <c r="M10" s="3" t="s">
        <v>1030</v>
      </c>
      <c r="N10" s="3" t="s">
        <v>127</v>
      </c>
      <c r="O10" s="3" t="s">
        <v>1031</v>
      </c>
      <c r="P10" s="3" t="s">
        <v>1032</v>
      </c>
      <c r="Q10" s="3" t="s">
        <v>660</v>
      </c>
      <c r="R10" s="3" t="s">
        <v>720</v>
      </c>
      <c r="S10" s="3" t="s">
        <v>1033</v>
      </c>
      <c r="T10" s="3" t="s">
        <v>1034</v>
      </c>
      <c r="U10" s="3" t="s">
        <v>1035</v>
      </c>
      <c r="V10" s="3" t="s">
        <v>1036</v>
      </c>
      <c r="W10" s="3" t="s">
        <v>725</v>
      </c>
      <c r="X10" s="3" t="s">
        <v>65</v>
      </c>
      <c r="Y10" s="3" t="s">
        <v>1037</v>
      </c>
      <c r="Z10" s="3" t="s">
        <v>1038</v>
      </c>
      <c r="AA10" s="3" t="s">
        <v>1039</v>
      </c>
      <c r="AB10" s="3" t="s">
        <v>1040</v>
      </c>
      <c r="AC10" s="3" t="s">
        <v>1041</v>
      </c>
      <c r="AD10" s="3" t="s">
        <v>1042</v>
      </c>
      <c r="AE10" s="3" t="s">
        <v>728</v>
      </c>
      <c r="AF10" s="3" t="s">
        <v>1043</v>
      </c>
      <c r="AG10" s="3" t="s">
        <v>666</v>
      </c>
      <c r="AH10" s="3" t="s">
        <v>1044</v>
      </c>
      <c r="AI10" s="3" t="s">
        <v>1045</v>
      </c>
      <c r="AJ10" s="3" t="s">
        <v>1046</v>
      </c>
      <c r="AK10" s="3" t="s">
        <v>67</v>
      </c>
      <c r="AL10" s="3" t="s">
        <v>666</v>
      </c>
      <c r="AM10" s="3" t="s">
        <v>666</v>
      </c>
      <c r="AN10" s="3" t="s">
        <v>1047</v>
      </c>
      <c r="AO10" s="3" t="s">
        <v>690</v>
      </c>
      <c r="AP10" s="3" t="s">
        <v>691</v>
      </c>
      <c r="AQ10" s="3" t="s">
        <v>733</v>
      </c>
      <c r="AR10" s="3" t="s">
        <v>734</v>
      </c>
      <c r="AS10" s="3" t="s">
        <v>734</v>
      </c>
      <c r="AT10" s="3" t="s">
        <v>733</v>
      </c>
      <c r="AU10" s="3" t="s">
        <v>734</v>
      </c>
      <c r="AV10" s="3" t="s">
        <v>1048</v>
      </c>
      <c r="AW10" s="3" t="s">
        <v>1049</v>
      </c>
      <c r="AX10" s="3" t="s">
        <v>1050</v>
      </c>
      <c r="AY10" s="3" t="s">
        <v>687</v>
      </c>
      <c r="AZ10" s="3" t="s">
        <v>1051</v>
      </c>
      <c r="BA10" s="3" t="s">
        <v>1052</v>
      </c>
      <c r="BB10" s="3" t="s">
        <v>690</v>
      </c>
      <c r="BC10" s="3" t="s">
        <v>691</v>
      </c>
      <c r="BD10" s="3" t="s">
        <v>690</v>
      </c>
      <c r="BE10" s="3" t="s">
        <v>691</v>
      </c>
      <c r="BF10" s="3" t="s">
        <v>1053</v>
      </c>
      <c r="BG10" s="3" t="s">
        <v>687</v>
      </c>
      <c r="BH10" s="3" t="s">
        <v>1054</v>
      </c>
      <c r="BI10" s="3" t="s">
        <v>1055</v>
      </c>
      <c r="BJ10" s="3" t="s">
        <v>666</v>
      </c>
      <c r="BK10" s="3" t="s">
        <v>696</v>
      </c>
      <c r="BL10" s="3" t="s">
        <v>1056</v>
      </c>
      <c r="BM10" s="3" t="s">
        <v>1057</v>
      </c>
      <c r="BN10" s="3" t="s">
        <v>1058</v>
      </c>
      <c r="BO10" s="3" t="s">
        <v>1059</v>
      </c>
      <c r="BP10" s="3" t="s">
        <v>1060</v>
      </c>
      <c r="BQ10" s="3" t="s">
        <v>1061</v>
      </c>
      <c r="BR10" s="3" t="s">
        <v>1062</v>
      </c>
      <c r="BS10" s="3" t="s">
        <v>703</v>
      </c>
      <c r="BT10" s="3" t="s">
        <v>1063</v>
      </c>
      <c r="BU10" s="3" t="s">
        <v>666</v>
      </c>
      <c r="BV10" s="3" t="s">
        <v>680</v>
      </c>
      <c r="BW10" s="3" t="s">
        <v>705</v>
      </c>
      <c r="BX10" s="3" t="s">
        <v>1064</v>
      </c>
      <c r="BY10" s="3" t="s">
        <v>1065</v>
      </c>
      <c r="BZ10" s="3" t="s">
        <v>1066</v>
      </c>
      <c r="CA10" s="3" t="s">
        <v>1067</v>
      </c>
      <c r="CB10" s="3" t="s">
        <v>1068</v>
      </c>
      <c r="CC10" s="3" t="s">
        <v>1069</v>
      </c>
      <c r="CD10"/>
    </row>
    <row r="11" spans="1:82" ht="112" customHeight="1">
      <c r="A11" s="3" t="s">
        <v>132</v>
      </c>
      <c r="B11" s="3" t="s">
        <v>1070</v>
      </c>
      <c r="C11" s="3" t="s">
        <v>1071</v>
      </c>
      <c r="D11" s="3" t="s">
        <v>1072</v>
      </c>
      <c r="E11" s="3" t="s">
        <v>902</v>
      </c>
      <c r="F11" s="3" t="s">
        <v>134</v>
      </c>
      <c r="G11" s="3" t="s">
        <v>1073</v>
      </c>
      <c r="H11" s="3" t="s">
        <v>1074</v>
      </c>
      <c r="I11" s="3" t="s">
        <v>654</v>
      </c>
      <c r="J11" s="3" t="s">
        <v>655</v>
      </c>
      <c r="K11" s="3" t="s">
        <v>93</v>
      </c>
      <c r="L11" s="3" t="s">
        <v>1075</v>
      </c>
      <c r="M11" s="3" t="s">
        <v>1076</v>
      </c>
      <c r="N11" s="3" t="s">
        <v>135</v>
      </c>
      <c r="O11" s="3" t="s">
        <v>1077</v>
      </c>
      <c r="P11" s="3" t="s">
        <v>1078</v>
      </c>
      <c r="Q11" s="3" t="s">
        <v>861</v>
      </c>
      <c r="R11" s="3" t="s">
        <v>1079</v>
      </c>
      <c r="S11" s="3" t="s">
        <v>863</v>
      </c>
      <c r="T11" s="3" t="s">
        <v>1080</v>
      </c>
      <c r="U11" s="3" t="s">
        <v>669</v>
      </c>
      <c r="V11" s="3" t="s">
        <v>1081</v>
      </c>
      <c r="W11" s="3" t="s">
        <v>1082</v>
      </c>
      <c r="X11" s="3" t="s">
        <v>137</v>
      </c>
      <c r="Y11" s="3" t="s">
        <v>1083</v>
      </c>
      <c r="Z11" s="3" t="s">
        <v>1084</v>
      </c>
      <c r="AA11" s="3" t="s">
        <v>1085</v>
      </c>
      <c r="AB11" s="3" t="s">
        <v>1086</v>
      </c>
      <c r="AC11" s="3" t="s">
        <v>1086</v>
      </c>
      <c r="AD11" s="3" t="s">
        <v>1087</v>
      </c>
      <c r="AE11" s="3" t="s">
        <v>728</v>
      </c>
      <c r="AF11" s="3" t="s">
        <v>1088</v>
      </c>
      <c r="AG11" s="3" t="s">
        <v>666</v>
      </c>
      <c r="AH11" s="3" t="s">
        <v>1089</v>
      </c>
      <c r="AI11" s="3" t="s">
        <v>1083</v>
      </c>
      <c r="AJ11" s="3" t="s">
        <v>1090</v>
      </c>
      <c r="AK11" s="3" t="s">
        <v>67</v>
      </c>
      <c r="AL11" s="3" t="s">
        <v>666</v>
      </c>
      <c r="AM11" s="3" t="s">
        <v>666</v>
      </c>
      <c r="AN11" s="3" t="s">
        <v>1091</v>
      </c>
      <c r="AO11" s="3" t="s">
        <v>1092</v>
      </c>
      <c r="AP11" s="3" t="s">
        <v>878</v>
      </c>
      <c r="AQ11" s="3" t="s">
        <v>733</v>
      </c>
      <c r="AR11" s="3" t="s">
        <v>734</v>
      </c>
      <c r="AS11" s="3" t="s">
        <v>734</v>
      </c>
      <c r="AT11" s="3" t="s">
        <v>733</v>
      </c>
      <c r="AU11" s="3" t="s">
        <v>734</v>
      </c>
      <c r="AV11" s="3" t="s">
        <v>1093</v>
      </c>
      <c r="AW11" s="3" t="s">
        <v>1094</v>
      </c>
      <c r="AX11" s="3" t="s">
        <v>1095</v>
      </c>
      <c r="AY11" s="3" t="s">
        <v>687</v>
      </c>
      <c r="AZ11" s="3" t="s">
        <v>1096</v>
      </c>
      <c r="BA11" s="3" t="s">
        <v>1097</v>
      </c>
      <c r="BB11" s="3" t="s">
        <v>690</v>
      </c>
      <c r="BC11" s="3" t="s">
        <v>691</v>
      </c>
      <c r="BD11" s="3" t="s">
        <v>1098</v>
      </c>
      <c r="BE11" s="3" t="s">
        <v>1099</v>
      </c>
      <c r="BF11" s="3" t="s">
        <v>690</v>
      </c>
      <c r="BG11" s="3" t="s">
        <v>691</v>
      </c>
      <c r="BH11" s="3" t="s">
        <v>1100</v>
      </c>
      <c r="BI11" s="3" t="s">
        <v>1101</v>
      </c>
      <c r="BJ11" s="3" t="s">
        <v>666</v>
      </c>
      <c r="BK11" s="3" t="s">
        <v>1102</v>
      </c>
      <c r="BL11" s="3" t="s">
        <v>891</v>
      </c>
      <c r="BM11" s="3" t="s">
        <v>1103</v>
      </c>
      <c r="BN11" s="3" t="s">
        <v>669</v>
      </c>
      <c r="BO11" s="3" t="s">
        <v>1104</v>
      </c>
      <c r="BP11" s="3" t="s">
        <v>326</v>
      </c>
      <c r="BQ11" s="3" t="s">
        <v>666</v>
      </c>
      <c r="BR11" s="3" t="s">
        <v>1105</v>
      </c>
      <c r="BS11" s="3" t="s">
        <v>703</v>
      </c>
      <c r="BT11" s="3" t="s">
        <v>1106</v>
      </c>
      <c r="BU11" s="3" t="s">
        <v>666</v>
      </c>
      <c r="BV11" s="3" t="s">
        <v>680</v>
      </c>
      <c r="BW11" s="3" t="s">
        <v>705</v>
      </c>
      <c r="BX11" s="3" t="s">
        <v>1107</v>
      </c>
      <c r="BY11" s="3" t="s">
        <v>1108</v>
      </c>
      <c r="BZ11" s="3" t="s">
        <v>1109</v>
      </c>
      <c r="CA11" s="3" t="s">
        <v>140</v>
      </c>
      <c r="CB11" s="3" t="s">
        <v>669</v>
      </c>
      <c r="CC11" s="3" t="s">
        <v>15</v>
      </c>
      <c r="CD11"/>
    </row>
    <row r="12" spans="1:82" ht="146.75" customHeight="1">
      <c r="A12" s="3" t="s">
        <v>141</v>
      </c>
      <c r="B12" s="3" t="s">
        <v>1110</v>
      </c>
      <c r="C12" s="3" t="s">
        <v>1025</v>
      </c>
      <c r="D12" s="3" t="s">
        <v>1111</v>
      </c>
      <c r="E12" s="3" t="s">
        <v>902</v>
      </c>
      <c r="F12" s="3" t="s">
        <v>142</v>
      </c>
      <c r="G12" s="3" t="s">
        <v>1027</v>
      </c>
      <c r="H12" s="3" t="s">
        <v>1112</v>
      </c>
      <c r="I12" s="3" t="s">
        <v>654</v>
      </c>
      <c r="J12" s="3" t="s">
        <v>655</v>
      </c>
      <c r="K12" s="3" t="s">
        <v>144</v>
      </c>
      <c r="L12" s="3" t="s">
        <v>656</v>
      </c>
      <c r="M12" s="3" t="s">
        <v>1113</v>
      </c>
      <c r="N12" s="3" t="s">
        <v>143</v>
      </c>
      <c r="O12" s="3" t="s">
        <v>1031</v>
      </c>
      <c r="P12" s="3" t="s">
        <v>1032</v>
      </c>
      <c r="Q12" s="3" t="s">
        <v>660</v>
      </c>
      <c r="R12" s="3" t="s">
        <v>1114</v>
      </c>
      <c r="S12" s="3" t="s">
        <v>1115</v>
      </c>
      <c r="T12" s="3" t="s">
        <v>1116</v>
      </c>
      <c r="U12" s="3" t="s">
        <v>669</v>
      </c>
      <c r="V12" s="3" t="s">
        <v>1117</v>
      </c>
      <c r="W12" s="3" t="s">
        <v>1118</v>
      </c>
      <c r="X12" s="3" t="s">
        <v>65</v>
      </c>
      <c r="Y12" s="3" t="s">
        <v>1119</v>
      </c>
      <c r="Z12" s="3" t="s">
        <v>1120</v>
      </c>
      <c r="AA12" s="3" t="s">
        <v>669</v>
      </c>
      <c r="AB12" s="3" t="s">
        <v>669</v>
      </c>
      <c r="AC12" s="3" t="s">
        <v>669</v>
      </c>
      <c r="AD12" s="3" t="s">
        <v>669</v>
      </c>
      <c r="AE12" s="3" t="s">
        <v>1121</v>
      </c>
      <c r="AF12" s="3" t="s">
        <v>1122</v>
      </c>
      <c r="AG12" s="3" t="s">
        <v>666</v>
      </c>
      <c r="AH12" s="3" t="s">
        <v>916</v>
      </c>
      <c r="AI12" s="3" t="s">
        <v>1123</v>
      </c>
      <c r="AJ12" s="3" t="s">
        <v>1124</v>
      </c>
      <c r="AK12" s="3" t="s">
        <v>55</v>
      </c>
      <c r="AL12" s="3" t="s">
        <v>666</v>
      </c>
      <c r="AM12" s="3" t="s">
        <v>666</v>
      </c>
      <c r="AN12" s="3" t="s">
        <v>1125</v>
      </c>
      <c r="AO12" s="3" t="s">
        <v>1126</v>
      </c>
      <c r="AP12" s="3" t="s">
        <v>679</v>
      </c>
      <c r="AQ12" s="3" t="s">
        <v>1127</v>
      </c>
      <c r="AR12" s="3" t="s">
        <v>1128</v>
      </c>
      <c r="AS12" s="3" t="s">
        <v>1129</v>
      </c>
      <c r="AT12" s="3" t="s">
        <v>666</v>
      </c>
      <c r="AU12" s="3" t="s">
        <v>1130</v>
      </c>
      <c r="AV12" s="3" t="s">
        <v>1131</v>
      </c>
      <c r="AW12" s="3" t="s">
        <v>690</v>
      </c>
      <c r="AX12" s="3" t="s">
        <v>790</v>
      </c>
      <c r="AY12" s="3" t="s">
        <v>691</v>
      </c>
      <c r="AZ12" s="3" t="s">
        <v>733</v>
      </c>
      <c r="BA12" s="3" t="s">
        <v>790</v>
      </c>
      <c r="BB12" s="3" t="s">
        <v>690</v>
      </c>
      <c r="BC12" s="3" t="s">
        <v>691</v>
      </c>
      <c r="BD12" s="3" t="s">
        <v>690</v>
      </c>
      <c r="BE12" s="3" t="s">
        <v>691</v>
      </c>
      <c r="BF12" s="3" t="s">
        <v>1132</v>
      </c>
      <c r="BG12" s="3" t="s">
        <v>1133</v>
      </c>
      <c r="BH12" s="3" t="s">
        <v>1134</v>
      </c>
      <c r="BI12" s="3" t="s">
        <v>1135</v>
      </c>
      <c r="BJ12" s="3" t="s">
        <v>1136</v>
      </c>
      <c r="BK12" s="3" t="s">
        <v>696</v>
      </c>
      <c r="BL12" s="3" t="s">
        <v>1137</v>
      </c>
      <c r="BM12" s="3" t="s">
        <v>1138</v>
      </c>
      <c r="BN12" s="3" t="s">
        <v>1139</v>
      </c>
      <c r="BO12" s="3" t="s">
        <v>1140</v>
      </c>
      <c r="BP12" s="3" t="s">
        <v>1141</v>
      </c>
      <c r="BQ12" s="3" t="s">
        <v>1142</v>
      </c>
      <c r="BR12" s="3" t="s">
        <v>1143</v>
      </c>
      <c r="BS12" s="3" t="s">
        <v>1144</v>
      </c>
      <c r="BT12" s="3" t="s">
        <v>1145</v>
      </c>
      <c r="BU12" s="3" t="s">
        <v>666</v>
      </c>
      <c r="BV12" s="3" t="s">
        <v>680</v>
      </c>
      <c r="BW12" s="3" t="s">
        <v>705</v>
      </c>
      <c r="BX12" s="3" t="s">
        <v>1146</v>
      </c>
      <c r="BY12" s="3" t="s">
        <v>1147</v>
      </c>
      <c r="BZ12" s="3" t="s">
        <v>1148</v>
      </c>
      <c r="CA12" s="3" t="s">
        <v>148</v>
      </c>
      <c r="CB12" s="3" t="s">
        <v>1149</v>
      </c>
      <c r="CC12" s="3" t="s">
        <v>12</v>
      </c>
      <c r="CD12"/>
    </row>
    <row r="13" spans="1:82" ht="129.25" customHeight="1">
      <c r="A13" s="3" t="s">
        <v>150</v>
      </c>
      <c r="B13" s="3" t="s">
        <v>1150</v>
      </c>
      <c r="C13" s="3" t="s">
        <v>1151</v>
      </c>
      <c r="D13" s="3" t="s">
        <v>1152</v>
      </c>
      <c r="E13" s="3" t="s">
        <v>902</v>
      </c>
      <c r="F13" s="3" t="s">
        <v>152</v>
      </c>
      <c r="G13" s="3" t="s">
        <v>1153</v>
      </c>
      <c r="H13" s="3" t="s">
        <v>1154</v>
      </c>
      <c r="I13" s="3" t="s">
        <v>654</v>
      </c>
      <c r="J13" s="3" t="s">
        <v>655</v>
      </c>
      <c r="K13" s="3" t="s">
        <v>93</v>
      </c>
      <c r="L13" s="3" t="s">
        <v>656</v>
      </c>
      <c r="M13" s="3" t="s">
        <v>1155</v>
      </c>
      <c r="N13" s="3" t="s">
        <v>153</v>
      </c>
      <c r="O13" s="3" t="s">
        <v>1156</v>
      </c>
      <c r="P13" s="3" t="s">
        <v>1157</v>
      </c>
      <c r="Q13" s="3" t="s">
        <v>861</v>
      </c>
      <c r="R13" s="3" t="s">
        <v>1079</v>
      </c>
      <c r="S13" s="3" t="s">
        <v>863</v>
      </c>
      <c r="T13" s="3" t="s">
        <v>1158</v>
      </c>
      <c r="U13" s="3" t="s">
        <v>1159</v>
      </c>
      <c r="V13" s="3" t="s">
        <v>1160</v>
      </c>
      <c r="W13" s="3" t="s">
        <v>867</v>
      </c>
      <c r="X13" s="3" t="s">
        <v>155</v>
      </c>
      <c r="Y13" s="3" t="s">
        <v>1161</v>
      </c>
      <c r="Z13" s="3" t="s">
        <v>1162</v>
      </c>
      <c r="AA13" s="3" t="s">
        <v>1163</v>
      </c>
      <c r="AB13" s="3" t="s">
        <v>1164</v>
      </c>
      <c r="AC13" s="3" t="s">
        <v>1165</v>
      </c>
      <c r="AD13" s="3" t="s">
        <v>1166</v>
      </c>
      <c r="AE13" s="3" t="s">
        <v>1167</v>
      </c>
      <c r="AF13" s="3" t="s">
        <v>1168</v>
      </c>
      <c r="AG13" s="3" t="s">
        <v>666</v>
      </c>
      <c r="AH13" s="3" t="s">
        <v>1169</v>
      </c>
      <c r="AI13" s="3" t="s">
        <v>1161</v>
      </c>
      <c r="AJ13" s="3" t="s">
        <v>1170</v>
      </c>
      <c r="AK13" s="3" t="s">
        <v>55</v>
      </c>
      <c r="AL13" s="3" t="s">
        <v>666</v>
      </c>
      <c r="AM13" s="3" t="s">
        <v>666</v>
      </c>
      <c r="AN13" s="3" t="s">
        <v>1171</v>
      </c>
      <c r="AO13" s="3" t="s">
        <v>1172</v>
      </c>
      <c r="AP13" s="3" t="s">
        <v>1173</v>
      </c>
      <c r="AQ13" s="3" t="s">
        <v>1174</v>
      </c>
      <c r="AR13" s="3" t="s">
        <v>1175</v>
      </c>
      <c r="AS13" s="3" t="s">
        <v>1176</v>
      </c>
      <c r="AT13" s="3" t="s">
        <v>1177</v>
      </c>
      <c r="AU13" s="3" t="s">
        <v>1178</v>
      </c>
      <c r="AV13" s="3" t="s">
        <v>1179</v>
      </c>
      <c r="AW13" s="3" t="s">
        <v>1180</v>
      </c>
      <c r="AX13" s="3" t="s">
        <v>1181</v>
      </c>
      <c r="AY13" s="3" t="s">
        <v>687</v>
      </c>
      <c r="AZ13" s="3" t="s">
        <v>666</v>
      </c>
      <c r="BA13" s="3" t="s">
        <v>1182</v>
      </c>
      <c r="BB13" s="3" t="s">
        <v>690</v>
      </c>
      <c r="BC13" s="3" t="s">
        <v>691</v>
      </c>
      <c r="BD13" s="3" t="s">
        <v>690</v>
      </c>
      <c r="BE13" s="3" t="s">
        <v>691</v>
      </c>
      <c r="BF13" s="3" t="s">
        <v>690</v>
      </c>
      <c r="BG13" s="3" t="s">
        <v>691</v>
      </c>
      <c r="BH13" s="3" t="s">
        <v>1183</v>
      </c>
      <c r="BI13" s="3" t="s">
        <v>1184</v>
      </c>
      <c r="BJ13" s="3" t="s">
        <v>666</v>
      </c>
      <c r="BK13" s="3" t="s">
        <v>696</v>
      </c>
      <c r="BL13" s="3" t="s">
        <v>1185</v>
      </c>
      <c r="BM13" s="3" t="s">
        <v>1186</v>
      </c>
      <c r="BN13" s="3" t="s">
        <v>1187</v>
      </c>
      <c r="BO13" s="3" t="s">
        <v>1188</v>
      </c>
      <c r="BP13" s="3" t="s">
        <v>1189</v>
      </c>
      <c r="BQ13" s="3" t="s">
        <v>1190</v>
      </c>
      <c r="BR13" s="3" t="s">
        <v>1191</v>
      </c>
      <c r="BS13" s="3" t="s">
        <v>703</v>
      </c>
      <c r="BT13" s="3" t="s">
        <v>1192</v>
      </c>
      <c r="BU13" s="3" t="s">
        <v>666</v>
      </c>
      <c r="BV13" s="3" t="s">
        <v>680</v>
      </c>
      <c r="BW13" s="3" t="s">
        <v>705</v>
      </c>
      <c r="BX13" s="3" t="s">
        <v>1193</v>
      </c>
      <c r="BY13" s="3" t="s">
        <v>1194</v>
      </c>
      <c r="BZ13" s="3" t="s">
        <v>1195</v>
      </c>
      <c r="CA13" s="3" t="s">
        <v>158</v>
      </c>
      <c r="CB13" s="3" t="s">
        <v>1196</v>
      </c>
      <c r="CC13" s="3" t="s">
        <v>806</v>
      </c>
      <c r="CD13"/>
    </row>
    <row r="14" spans="1:82" ht="134.75" customHeight="1">
      <c r="A14" s="3" t="s">
        <v>159</v>
      </c>
      <c r="B14" s="3" t="s">
        <v>1197</v>
      </c>
      <c r="C14" s="3" t="s">
        <v>1198</v>
      </c>
      <c r="D14" s="3" t="s">
        <v>1199</v>
      </c>
      <c r="E14" s="3" t="s">
        <v>902</v>
      </c>
      <c r="F14" s="3" t="s">
        <v>161</v>
      </c>
      <c r="G14" s="3" t="s">
        <v>1200</v>
      </c>
      <c r="H14" s="3" t="s">
        <v>1201</v>
      </c>
      <c r="I14" s="3" t="s">
        <v>654</v>
      </c>
      <c r="J14" s="3" t="s">
        <v>655</v>
      </c>
      <c r="K14" s="3" t="s">
        <v>84</v>
      </c>
      <c r="L14" s="3" t="s">
        <v>656</v>
      </c>
      <c r="M14" s="3" t="s">
        <v>1202</v>
      </c>
      <c r="N14" s="3" t="s">
        <v>162</v>
      </c>
      <c r="O14" s="3" t="s">
        <v>1203</v>
      </c>
      <c r="P14" s="3" t="s">
        <v>1204</v>
      </c>
      <c r="Q14" s="3" t="s">
        <v>660</v>
      </c>
      <c r="R14" s="3" t="s">
        <v>1205</v>
      </c>
      <c r="S14" s="3" t="s">
        <v>1206</v>
      </c>
      <c r="T14" s="3" t="s">
        <v>1207</v>
      </c>
      <c r="U14" s="3" t="s">
        <v>1208</v>
      </c>
      <c r="V14" s="3" t="s">
        <v>724</v>
      </c>
      <c r="W14" s="3" t="s">
        <v>867</v>
      </c>
      <c r="X14" s="3" t="s">
        <v>120</v>
      </c>
      <c r="Y14" s="3" t="s">
        <v>1209</v>
      </c>
      <c r="Z14" s="3" t="s">
        <v>1210</v>
      </c>
      <c r="AA14" s="3" t="s">
        <v>669</v>
      </c>
      <c r="AB14" s="3" t="s">
        <v>669</v>
      </c>
      <c r="AC14" s="3" t="s">
        <v>669</v>
      </c>
      <c r="AD14" s="3" t="s">
        <v>1211</v>
      </c>
      <c r="AE14" s="3" t="s">
        <v>1212</v>
      </c>
      <c r="AF14" s="3" t="s">
        <v>1213</v>
      </c>
      <c r="AG14" s="3" t="s">
        <v>666</v>
      </c>
      <c r="AH14" s="3" t="s">
        <v>1214</v>
      </c>
      <c r="AI14" s="3" t="s">
        <v>1215</v>
      </c>
      <c r="AJ14" s="3" t="s">
        <v>918</v>
      </c>
      <c r="AK14" s="3" t="s">
        <v>55</v>
      </c>
      <c r="AL14" s="3" t="s">
        <v>666</v>
      </c>
      <c r="AM14" s="3" t="s">
        <v>666</v>
      </c>
      <c r="AN14" s="3" t="s">
        <v>1216</v>
      </c>
      <c r="AO14" s="3" t="s">
        <v>1217</v>
      </c>
      <c r="AP14" s="3" t="s">
        <v>1173</v>
      </c>
      <c r="AQ14" s="3" t="s">
        <v>1177</v>
      </c>
      <c r="AR14" s="3" t="s">
        <v>1218</v>
      </c>
      <c r="AS14" s="3" t="s">
        <v>1219</v>
      </c>
      <c r="AT14" s="3" t="s">
        <v>733</v>
      </c>
      <c r="AU14" s="3" t="s">
        <v>1220</v>
      </c>
      <c r="AV14" s="3" t="s">
        <v>1221</v>
      </c>
      <c r="AW14" s="3" t="s">
        <v>1222</v>
      </c>
      <c r="AX14" s="3" t="s">
        <v>1223</v>
      </c>
      <c r="AY14" s="3" t="s">
        <v>687</v>
      </c>
      <c r="AZ14" s="3" t="s">
        <v>666</v>
      </c>
      <c r="BA14" s="3" t="s">
        <v>1224</v>
      </c>
      <c r="BB14" s="3" t="s">
        <v>690</v>
      </c>
      <c r="BC14" s="3" t="s">
        <v>691</v>
      </c>
      <c r="BD14" s="3" t="s">
        <v>1225</v>
      </c>
      <c r="BE14" s="3" t="s">
        <v>691</v>
      </c>
      <c r="BF14" s="3" t="s">
        <v>1226</v>
      </c>
      <c r="BG14" s="3" t="s">
        <v>691</v>
      </c>
      <c r="BH14" s="3" t="s">
        <v>1227</v>
      </c>
      <c r="BI14" s="3" t="s">
        <v>1228</v>
      </c>
      <c r="BJ14" s="3" t="s">
        <v>666</v>
      </c>
      <c r="BK14" s="3" t="s">
        <v>1229</v>
      </c>
      <c r="BL14" s="3" t="s">
        <v>1230</v>
      </c>
      <c r="BM14" s="3" t="s">
        <v>1231</v>
      </c>
      <c r="BN14" s="3" t="s">
        <v>1232</v>
      </c>
      <c r="BO14" s="3" t="s">
        <v>799</v>
      </c>
      <c r="BP14" s="3" t="s">
        <v>701</v>
      </c>
      <c r="BQ14" s="3" t="s">
        <v>666</v>
      </c>
      <c r="BR14" s="3" t="s">
        <v>1233</v>
      </c>
      <c r="BS14" s="3" t="s">
        <v>703</v>
      </c>
      <c r="BT14" s="3" t="s">
        <v>1234</v>
      </c>
      <c r="BU14" s="3" t="s">
        <v>666</v>
      </c>
      <c r="BV14" s="3" t="s">
        <v>666</v>
      </c>
      <c r="BW14" s="3" t="s">
        <v>705</v>
      </c>
      <c r="BX14" s="3" t="s">
        <v>1235</v>
      </c>
      <c r="BY14" s="3" t="s">
        <v>1236</v>
      </c>
      <c r="BZ14" s="3" t="s">
        <v>1237</v>
      </c>
      <c r="CA14" s="3" t="s">
        <v>165</v>
      </c>
      <c r="CB14" s="3" t="s">
        <v>1238</v>
      </c>
      <c r="CC14" s="3" t="s">
        <v>1239</v>
      </c>
      <c r="CD14"/>
    </row>
    <row r="15" spans="1:82" ht="130.75" customHeight="1">
      <c r="A15" s="3" t="s">
        <v>166</v>
      </c>
      <c r="B15" s="3" t="s">
        <v>1240</v>
      </c>
      <c r="C15" s="3" t="s">
        <v>1241</v>
      </c>
      <c r="D15" s="3" t="s">
        <v>1242</v>
      </c>
      <c r="E15" s="3" t="s">
        <v>902</v>
      </c>
      <c r="F15" s="3" t="s">
        <v>168</v>
      </c>
      <c r="G15" s="3" t="s">
        <v>1243</v>
      </c>
      <c r="H15" s="3" t="s">
        <v>1244</v>
      </c>
      <c r="I15" s="3" t="s">
        <v>654</v>
      </c>
      <c r="J15" s="3" t="s">
        <v>655</v>
      </c>
      <c r="K15" s="3" t="s">
        <v>75</v>
      </c>
      <c r="L15" s="3" t="s">
        <v>1245</v>
      </c>
      <c r="M15" s="3" t="s">
        <v>1246</v>
      </c>
      <c r="N15" s="3" t="s">
        <v>169</v>
      </c>
      <c r="O15" s="3" t="s">
        <v>1247</v>
      </c>
      <c r="P15" s="3" t="s">
        <v>1248</v>
      </c>
      <c r="Q15" s="3" t="s">
        <v>861</v>
      </c>
      <c r="R15" s="3" t="s">
        <v>1249</v>
      </c>
      <c r="S15" s="3" t="s">
        <v>863</v>
      </c>
      <c r="T15" s="3" t="s">
        <v>1250</v>
      </c>
      <c r="U15" s="3" t="s">
        <v>1251</v>
      </c>
      <c r="V15" s="3" t="s">
        <v>1160</v>
      </c>
      <c r="W15" s="3" t="s">
        <v>867</v>
      </c>
      <c r="X15" s="3" t="s">
        <v>120</v>
      </c>
      <c r="Y15" s="3" t="s">
        <v>1252</v>
      </c>
      <c r="Z15" s="3" t="s">
        <v>1253</v>
      </c>
      <c r="AA15" s="3" t="s">
        <v>1254</v>
      </c>
      <c r="AB15" s="3" t="s">
        <v>1255</v>
      </c>
      <c r="AC15" s="3" t="s">
        <v>1256</v>
      </c>
      <c r="AD15" s="3" t="s">
        <v>1257</v>
      </c>
      <c r="AE15" s="3" t="s">
        <v>1258</v>
      </c>
      <c r="AF15" s="3" t="s">
        <v>1259</v>
      </c>
      <c r="AG15" s="3" t="s">
        <v>1260</v>
      </c>
      <c r="AH15" s="3" t="s">
        <v>1261</v>
      </c>
      <c r="AI15" s="3" t="s">
        <v>1262</v>
      </c>
      <c r="AJ15" s="3" t="s">
        <v>1263</v>
      </c>
      <c r="AK15" s="3" t="s">
        <v>172</v>
      </c>
      <c r="AL15" s="3" t="s">
        <v>1264</v>
      </c>
      <c r="AM15" s="3" t="s">
        <v>1265</v>
      </c>
      <c r="AN15" s="3" t="s">
        <v>1266</v>
      </c>
      <c r="AO15" s="3" t="s">
        <v>1267</v>
      </c>
      <c r="AP15" s="3" t="s">
        <v>691</v>
      </c>
      <c r="AQ15" s="3" t="s">
        <v>1268</v>
      </c>
      <c r="AR15" s="3" t="s">
        <v>1269</v>
      </c>
      <c r="AS15" s="3" t="s">
        <v>1270</v>
      </c>
      <c r="AT15" s="3" t="s">
        <v>1271</v>
      </c>
      <c r="AU15" s="3" t="s">
        <v>1272</v>
      </c>
      <c r="AV15" s="3" t="s">
        <v>1273</v>
      </c>
      <c r="AW15" s="3" t="s">
        <v>690</v>
      </c>
      <c r="AX15" s="3" t="s">
        <v>790</v>
      </c>
      <c r="AY15" s="3" t="s">
        <v>691</v>
      </c>
      <c r="AZ15" s="3" t="s">
        <v>733</v>
      </c>
      <c r="BA15" s="3" t="s">
        <v>790</v>
      </c>
      <c r="BB15" s="3" t="s">
        <v>690</v>
      </c>
      <c r="BC15" s="3" t="s">
        <v>691</v>
      </c>
      <c r="BD15" s="3" t="s">
        <v>690</v>
      </c>
      <c r="BE15" s="3" t="s">
        <v>691</v>
      </c>
      <c r="BF15" s="3" t="s">
        <v>690</v>
      </c>
      <c r="BG15" s="3" t="s">
        <v>691</v>
      </c>
      <c r="BH15" s="3" t="s">
        <v>1274</v>
      </c>
      <c r="BI15" s="3" t="s">
        <v>1275</v>
      </c>
      <c r="BJ15" s="3" t="s">
        <v>1276</v>
      </c>
      <c r="BK15" s="3" t="s">
        <v>1229</v>
      </c>
      <c r="BL15" s="3" t="s">
        <v>1277</v>
      </c>
      <c r="BM15" s="3" t="s">
        <v>1278</v>
      </c>
      <c r="BN15" s="3" t="s">
        <v>1279</v>
      </c>
      <c r="BO15" s="3" t="s">
        <v>799</v>
      </c>
      <c r="BP15" s="3" t="s">
        <v>701</v>
      </c>
      <c r="BQ15" s="3" t="s">
        <v>1280</v>
      </c>
      <c r="BR15" s="3" t="s">
        <v>1281</v>
      </c>
      <c r="BS15" s="3" t="s">
        <v>173</v>
      </c>
      <c r="BT15" s="3" t="s">
        <v>1282</v>
      </c>
      <c r="BU15" s="3" t="s">
        <v>1283</v>
      </c>
      <c r="BV15" s="3" t="s">
        <v>680</v>
      </c>
      <c r="BW15" s="3" t="s">
        <v>1284</v>
      </c>
      <c r="BX15" s="3" t="s">
        <v>1285</v>
      </c>
      <c r="BY15" s="3" t="s">
        <v>1286</v>
      </c>
      <c r="BZ15" s="3" t="s">
        <v>1287</v>
      </c>
      <c r="CA15" s="3" t="s">
        <v>174</v>
      </c>
      <c r="CB15" s="3" t="s">
        <v>1288</v>
      </c>
      <c r="CC15" s="3" t="s">
        <v>1289</v>
      </c>
      <c r="CD15"/>
    </row>
    <row r="16" spans="1:82" ht="150.75" customHeight="1">
      <c r="A16" s="3" t="s">
        <v>175</v>
      </c>
      <c r="B16" s="3" t="s">
        <v>1290</v>
      </c>
      <c r="C16" s="3" t="s">
        <v>1291</v>
      </c>
      <c r="D16" s="3" t="s">
        <v>1292</v>
      </c>
      <c r="E16" s="3" t="s">
        <v>902</v>
      </c>
      <c r="F16" s="3" t="s">
        <v>177</v>
      </c>
      <c r="G16" s="3" t="s">
        <v>1027</v>
      </c>
      <c r="H16" s="3" t="s">
        <v>1293</v>
      </c>
      <c r="I16" s="3" t="s">
        <v>654</v>
      </c>
      <c r="J16" s="3" t="s">
        <v>655</v>
      </c>
      <c r="K16" s="3" t="s">
        <v>179</v>
      </c>
      <c r="L16" s="3" t="s">
        <v>656</v>
      </c>
      <c r="M16" s="3" t="s">
        <v>1294</v>
      </c>
      <c r="N16" s="3" t="s">
        <v>178</v>
      </c>
      <c r="O16" s="3" t="s">
        <v>1295</v>
      </c>
      <c r="P16" s="3" t="s">
        <v>1296</v>
      </c>
      <c r="Q16" s="3" t="s">
        <v>660</v>
      </c>
      <c r="R16" s="3" t="s">
        <v>1297</v>
      </c>
      <c r="S16" s="3" t="s">
        <v>1298</v>
      </c>
      <c r="T16" s="3" t="s">
        <v>1299</v>
      </c>
      <c r="U16" s="3" t="s">
        <v>1300</v>
      </c>
      <c r="V16" s="3" t="s">
        <v>1301</v>
      </c>
      <c r="W16" s="3" t="s">
        <v>867</v>
      </c>
      <c r="X16" s="3" t="s">
        <v>120</v>
      </c>
      <c r="Y16" s="3" t="s">
        <v>1302</v>
      </c>
      <c r="Z16" s="3" t="s">
        <v>1303</v>
      </c>
      <c r="AA16" s="3" t="s">
        <v>669</v>
      </c>
      <c r="AB16" s="3" t="s">
        <v>669</v>
      </c>
      <c r="AC16" s="3" t="s">
        <v>669</v>
      </c>
      <c r="AD16" s="3" t="s">
        <v>1304</v>
      </c>
      <c r="AE16" s="3" t="s">
        <v>728</v>
      </c>
      <c r="AF16" s="3" t="s">
        <v>1305</v>
      </c>
      <c r="AG16" s="3" t="s">
        <v>666</v>
      </c>
      <c r="AH16" s="3" t="s">
        <v>1306</v>
      </c>
      <c r="AI16" s="3" t="s">
        <v>1307</v>
      </c>
      <c r="AJ16" s="3" t="s">
        <v>1308</v>
      </c>
      <c r="AK16" s="3" t="s">
        <v>55</v>
      </c>
      <c r="AL16" s="3" t="s">
        <v>680</v>
      </c>
      <c r="AM16" s="3" t="s">
        <v>666</v>
      </c>
      <c r="AN16" s="3" t="s">
        <v>1309</v>
      </c>
      <c r="AO16" s="3" t="s">
        <v>690</v>
      </c>
      <c r="AP16" s="3" t="s">
        <v>691</v>
      </c>
      <c r="AQ16" s="3" t="s">
        <v>733</v>
      </c>
      <c r="AR16" s="3" t="s">
        <v>734</v>
      </c>
      <c r="AS16" s="3" t="s">
        <v>734</v>
      </c>
      <c r="AT16" s="3" t="s">
        <v>733</v>
      </c>
      <c r="AU16" s="3" t="s">
        <v>733</v>
      </c>
      <c r="AV16" s="3" t="s">
        <v>1310</v>
      </c>
      <c r="AW16" s="3" t="s">
        <v>1311</v>
      </c>
      <c r="AX16" s="3" t="s">
        <v>790</v>
      </c>
      <c r="AY16" s="3" t="s">
        <v>691</v>
      </c>
      <c r="AZ16" s="3" t="s">
        <v>733</v>
      </c>
      <c r="BA16" s="3" t="s">
        <v>790</v>
      </c>
      <c r="BB16" s="3" t="s">
        <v>1312</v>
      </c>
      <c r="BC16" s="3" t="s">
        <v>687</v>
      </c>
      <c r="BD16" s="3" t="s">
        <v>690</v>
      </c>
      <c r="BE16" s="3" t="s">
        <v>691</v>
      </c>
      <c r="BF16" s="3" t="s">
        <v>1313</v>
      </c>
      <c r="BG16" s="3" t="s">
        <v>1314</v>
      </c>
      <c r="BH16" s="3" t="s">
        <v>1315</v>
      </c>
      <c r="BI16" s="3" t="s">
        <v>1316</v>
      </c>
      <c r="BJ16" s="3" t="s">
        <v>666</v>
      </c>
      <c r="BK16" s="3" t="s">
        <v>696</v>
      </c>
      <c r="BL16" s="3" t="s">
        <v>1317</v>
      </c>
      <c r="BM16" s="3" t="s">
        <v>1318</v>
      </c>
      <c r="BN16" s="3" t="s">
        <v>1319</v>
      </c>
      <c r="BO16" s="3" t="s">
        <v>799</v>
      </c>
      <c r="BP16" s="3" t="s">
        <v>701</v>
      </c>
      <c r="BQ16" s="3" t="s">
        <v>666</v>
      </c>
      <c r="BR16" s="3" t="s">
        <v>1233</v>
      </c>
      <c r="BS16" s="3" t="s">
        <v>703</v>
      </c>
      <c r="BT16" s="3" t="s">
        <v>1320</v>
      </c>
      <c r="BU16" s="3" t="s">
        <v>666</v>
      </c>
      <c r="BV16" s="3" t="s">
        <v>680</v>
      </c>
      <c r="BW16" s="3" t="s">
        <v>705</v>
      </c>
      <c r="BX16" s="3" t="s">
        <v>1321</v>
      </c>
      <c r="BY16" s="3" t="s">
        <v>1322</v>
      </c>
      <c r="BZ16" s="3" t="s">
        <v>1323</v>
      </c>
      <c r="CA16" s="3" t="s">
        <v>183</v>
      </c>
      <c r="CB16" s="3" t="s">
        <v>1324</v>
      </c>
      <c r="CC16" s="3" t="s">
        <v>756</v>
      </c>
      <c r="CD16"/>
    </row>
    <row r="17" spans="1:82" ht="125.25" customHeight="1">
      <c r="A17" s="3" t="s">
        <v>184</v>
      </c>
      <c r="B17" s="3" t="s">
        <v>1325</v>
      </c>
      <c r="C17" s="3" t="s">
        <v>1326</v>
      </c>
      <c r="D17" s="3" t="s">
        <v>1327</v>
      </c>
      <c r="E17" s="3" t="s">
        <v>902</v>
      </c>
      <c r="F17" s="3" t="s">
        <v>186</v>
      </c>
      <c r="G17" s="3" t="s">
        <v>1328</v>
      </c>
      <c r="H17" s="3" t="s">
        <v>1329</v>
      </c>
      <c r="I17" s="3" t="s">
        <v>654</v>
      </c>
      <c r="J17" s="3" t="s">
        <v>655</v>
      </c>
      <c r="K17" s="3" t="s">
        <v>188</v>
      </c>
      <c r="L17" s="3" t="s">
        <v>656</v>
      </c>
      <c r="M17" s="3" t="s">
        <v>1330</v>
      </c>
      <c r="N17" s="3" t="s">
        <v>187</v>
      </c>
      <c r="O17" s="3" t="s">
        <v>1331</v>
      </c>
      <c r="P17" s="3" t="s">
        <v>1332</v>
      </c>
      <c r="Q17" s="3" t="s">
        <v>660</v>
      </c>
      <c r="R17" s="3" t="s">
        <v>1333</v>
      </c>
      <c r="S17" s="3" t="s">
        <v>1334</v>
      </c>
      <c r="T17" s="3" t="s">
        <v>1335</v>
      </c>
      <c r="U17" s="3" t="s">
        <v>669</v>
      </c>
      <c r="V17" s="3" t="s">
        <v>1336</v>
      </c>
      <c r="W17" s="3" t="s">
        <v>1337</v>
      </c>
      <c r="X17" s="3" t="s">
        <v>155</v>
      </c>
      <c r="Y17" s="3" t="s">
        <v>1338</v>
      </c>
      <c r="Z17" s="3" t="s">
        <v>1339</v>
      </c>
      <c r="AA17" s="3" t="s">
        <v>669</v>
      </c>
      <c r="AB17" s="3" t="s">
        <v>669</v>
      </c>
      <c r="AC17" s="3" t="s">
        <v>669</v>
      </c>
      <c r="AD17" s="3" t="s">
        <v>669</v>
      </c>
      <c r="AE17" s="3" t="s">
        <v>1340</v>
      </c>
      <c r="AF17" s="3" t="s">
        <v>1341</v>
      </c>
      <c r="AG17" s="3" t="s">
        <v>666</v>
      </c>
      <c r="AH17" s="3" t="s">
        <v>1342</v>
      </c>
      <c r="AI17" s="3" t="s">
        <v>1338</v>
      </c>
      <c r="AJ17" s="3" t="s">
        <v>1343</v>
      </c>
      <c r="AK17" s="3" t="s">
        <v>67</v>
      </c>
      <c r="AL17" s="3" t="s">
        <v>666</v>
      </c>
      <c r="AM17" s="3" t="s">
        <v>666</v>
      </c>
      <c r="AN17" s="3" t="s">
        <v>1344</v>
      </c>
      <c r="AO17" s="3" t="s">
        <v>690</v>
      </c>
      <c r="AP17" s="3" t="s">
        <v>691</v>
      </c>
      <c r="AQ17" s="3" t="s">
        <v>733</v>
      </c>
      <c r="AR17" s="3" t="s">
        <v>734</v>
      </c>
      <c r="AS17" s="3" t="s">
        <v>734</v>
      </c>
      <c r="AT17" s="3" t="s">
        <v>733</v>
      </c>
      <c r="AU17" s="3" t="s">
        <v>733</v>
      </c>
      <c r="AV17" s="3" t="s">
        <v>1345</v>
      </c>
      <c r="AW17" s="3" t="s">
        <v>1346</v>
      </c>
      <c r="AX17" s="3" t="s">
        <v>1347</v>
      </c>
      <c r="AY17" s="3" t="s">
        <v>687</v>
      </c>
      <c r="AZ17" s="3" t="s">
        <v>1348</v>
      </c>
      <c r="BA17" s="3" t="s">
        <v>1349</v>
      </c>
      <c r="BB17" s="3" t="s">
        <v>1350</v>
      </c>
      <c r="BC17" s="3" t="s">
        <v>691</v>
      </c>
      <c r="BD17" s="3" t="s">
        <v>1351</v>
      </c>
      <c r="BE17" s="3" t="s">
        <v>687</v>
      </c>
      <c r="BF17" s="3" t="s">
        <v>1352</v>
      </c>
      <c r="BG17" s="3" t="s">
        <v>1314</v>
      </c>
      <c r="BH17" s="3" t="s">
        <v>1353</v>
      </c>
      <c r="BI17" s="3" t="s">
        <v>1354</v>
      </c>
      <c r="BJ17" s="3" t="s">
        <v>666</v>
      </c>
      <c r="BK17" s="3" t="s">
        <v>696</v>
      </c>
      <c r="BL17" s="3" t="s">
        <v>1355</v>
      </c>
      <c r="BM17" s="3" t="s">
        <v>1356</v>
      </c>
      <c r="BN17" s="3" t="s">
        <v>669</v>
      </c>
      <c r="BO17" s="3" t="s">
        <v>799</v>
      </c>
      <c r="BP17" s="3" t="s">
        <v>701</v>
      </c>
      <c r="BQ17" s="3" t="s">
        <v>666</v>
      </c>
      <c r="BR17" s="3" t="s">
        <v>1233</v>
      </c>
      <c r="BS17" s="3" t="s">
        <v>703</v>
      </c>
      <c r="BT17" s="3" t="s">
        <v>1357</v>
      </c>
      <c r="BU17" s="3" t="s">
        <v>666</v>
      </c>
      <c r="BV17" s="3" t="s">
        <v>666</v>
      </c>
      <c r="BW17" s="3" t="s">
        <v>705</v>
      </c>
      <c r="BX17" s="3" t="s">
        <v>1358</v>
      </c>
      <c r="BY17" s="3" t="s">
        <v>1359</v>
      </c>
      <c r="BZ17" s="3" t="s">
        <v>1360</v>
      </c>
      <c r="CA17" s="3" t="s">
        <v>1361</v>
      </c>
      <c r="CB17" s="3" t="s">
        <v>669</v>
      </c>
      <c r="CC17" s="3" t="s">
        <v>1362</v>
      </c>
      <c r="CD17"/>
    </row>
    <row r="18" spans="1:82" ht="136" customHeight="1">
      <c r="A18" s="3" t="s">
        <v>193</v>
      </c>
      <c r="B18" s="3" t="s">
        <v>1363</v>
      </c>
      <c r="C18" s="3" t="s">
        <v>1364</v>
      </c>
      <c r="D18" s="3" t="s">
        <v>1365</v>
      </c>
      <c r="E18" s="3" t="s">
        <v>902</v>
      </c>
      <c r="F18" s="3" t="s">
        <v>195</v>
      </c>
      <c r="G18" s="3" t="s">
        <v>1366</v>
      </c>
      <c r="H18" s="3" t="s">
        <v>1367</v>
      </c>
      <c r="I18" s="3" t="s">
        <v>654</v>
      </c>
      <c r="J18" s="3" t="s">
        <v>655</v>
      </c>
      <c r="K18" s="3" t="s">
        <v>3136</v>
      </c>
      <c r="L18" s="3" t="s">
        <v>656</v>
      </c>
      <c r="M18" s="3" t="s">
        <v>3137</v>
      </c>
      <c r="N18" s="3" t="s">
        <v>196</v>
      </c>
      <c r="O18" s="3" t="s">
        <v>1368</v>
      </c>
      <c r="P18" s="3" t="s">
        <v>3138</v>
      </c>
      <c r="Q18" s="3" t="s">
        <v>660</v>
      </c>
      <c r="R18" s="3" t="s">
        <v>3139</v>
      </c>
      <c r="S18" s="3" t="s">
        <v>3140</v>
      </c>
      <c r="T18" s="3" t="s">
        <v>3141</v>
      </c>
      <c r="U18" s="3" t="s">
        <v>3142</v>
      </c>
      <c r="V18" s="3" t="s">
        <v>3143</v>
      </c>
      <c r="W18" s="3" t="s">
        <v>3144</v>
      </c>
      <c r="X18" s="3" t="s">
        <v>3145</v>
      </c>
      <c r="Y18" s="3" t="s">
        <v>3146</v>
      </c>
      <c r="Z18" s="3" t="s">
        <v>3147</v>
      </c>
      <c r="AA18" s="3" t="s">
        <v>3148</v>
      </c>
      <c r="AB18" s="3" t="s">
        <v>3148</v>
      </c>
      <c r="AC18" s="3" t="s">
        <v>3148</v>
      </c>
      <c r="AD18" s="3" t="s">
        <v>3149</v>
      </c>
      <c r="AE18" s="3" t="s">
        <v>728</v>
      </c>
      <c r="AF18" s="3" t="s">
        <v>3150</v>
      </c>
      <c r="AG18" s="3" t="s">
        <v>666</v>
      </c>
      <c r="AH18" s="3" t="s">
        <v>3151</v>
      </c>
      <c r="AI18" s="3" t="s">
        <v>3146</v>
      </c>
      <c r="AJ18" s="3" t="s">
        <v>1004</v>
      </c>
      <c r="AK18" s="3" t="s">
        <v>55</v>
      </c>
      <c r="AL18" s="3" t="s">
        <v>3152</v>
      </c>
      <c r="AM18" s="3" t="s">
        <v>3153</v>
      </c>
      <c r="AN18" s="3" t="s">
        <v>3154</v>
      </c>
      <c r="AO18" s="3" t="s">
        <v>1369</v>
      </c>
      <c r="AP18" s="3" t="s">
        <v>1173</v>
      </c>
      <c r="AQ18" s="3" t="s">
        <v>1177</v>
      </c>
      <c r="AR18" s="3" t="s">
        <v>1370</v>
      </c>
      <c r="AS18" s="3" t="s">
        <v>3155</v>
      </c>
      <c r="AT18" s="3" t="s">
        <v>1371</v>
      </c>
      <c r="AU18" s="3" t="s">
        <v>3156</v>
      </c>
      <c r="AV18" s="3" t="s">
        <v>1372</v>
      </c>
      <c r="AW18" s="3" t="s">
        <v>1373</v>
      </c>
      <c r="AX18" s="3" t="s">
        <v>3157</v>
      </c>
      <c r="AY18" s="3" t="s">
        <v>687</v>
      </c>
      <c r="AZ18" s="3" t="s">
        <v>3158</v>
      </c>
      <c r="BA18" s="3" t="s">
        <v>3159</v>
      </c>
      <c r="BB18" s="3" t="s">
        <v>690</v>
      </c>
      <c r="BC18" s="3" t="s">
        <v>691</v>
      </c>
      <c r="BD18" s="3" t="s">
        <v>690</v>
      </c>
      <c r="BE18" s="3" t="s">
        <v>691</v>
      </c>
      <c r="BF18" s="3" t="s">
        <v>3160</v>
      </c>
      <c r="BG18" s="3" t="s">
        <v>3161</v>
      </c>
      <c r="BH18" s="3" t="s">
        <v>1374</v>
      </c>
      <c r="BI18" s="3" t="s">
        <v>1375</v>
      </c>
      <c r="BJ18" s="3" t="s">
        <v>666</v>
      </c>
      <c r="BK18" s="3" t="s">
        <v>1229</v>
      </c>
      <c r="BL18" s="3" t="s">
        <v>3162</v>
      </c>
      <c r="BM18" s="3" t="s">
        <v>3163</v>
      </c>
      <c r="BN18" s="3" t="s">
        <v>3157</v>
      </c>
      <c r="BO18" s="3" t="s">
        <v>3164</v>
      </c>
      <c r="BP18" s="3" t="s">
        <v>3165</v>
      </c>
      <c r="BQ18" s="3" t="s">
        <v>3166</v>
      </c>
      <c r="BR18" s="3" t="s">
        <v>3167</v>
      </c>
      <c r="BS18" s="3" t="s">
        <v>703</v>
      </c>
      <c r="BT18" s="3" t="s">
        <v>3168</v>
      </c>
      <c r="BU18" s="3" t="s">
        <v>1376</v>
      </c>
      <c r="BV18" s="3" t="s">
        <v>680</v>
      </c>
      <c r="BW18" s="3" t="s">
        <v>3169</v>
      </c>
      <c r="BX18" s="3" t="s">
        <v>3170</v>
      </c>
      <c r="BY18" s="3" t="s">
        <v>3171</v>
      </c>
      <c r="BZ18" s="3" t="s">
        <v>3172</v>
      </c>
      <c r="CA18" s="3" t="s">
        <v>3173</v>
      </c>
      <c r="CB18" s="3" t="s">
        <v>3174</v>
      </c>
      <c r="CC18" s="3" t="s">
        <v>1377</v>
      </c>
      <c r="CD18"/>
    </row>
    <row r="19" spans="1:82" ht="148" customHeight="1">
      <c r="A19" s="3" t="s">
        <v>198</v>
      </c>
      <c r="B19" s="3" t="s">
        <v>1378</v>
      </c>
      <c r="C19" s="3" t="s">
        <v>1379</v>
      </c>
      <c r="D19" s="3" t="s">
        <v>1380</v>
      </c>
      <c r="E19" s="3" t="s">
        <v>902</v>
      </c>
      <c r="F19" s="3" t="s">
        <v>200</v>
      </c>
      <c r="G19" s="3" t="s">
        <v>1381</v>
      </c>
      <c r="H19" s="3" t="s">
        <v>1382</v>
      </c>
      <c r="I19" s="3" t="s">
        <v>654</v>
      </c>
      <c r="J19" s="3" t="s">
        <v>655</v>
      </c>
      <c r="K19" s="3" t="s">
        <v>202</v>
      </c>
      <c r="L19" s="3" t="s">
        <v>1383</v>
      </c>
      <c r="M19" s="3" t="s">
        <v>1384</v>
      </c>
      <c r="N19" s="3" t="s">
        <v>201</v>
      </c>
      <c r="O19" s="3" t="s">
        <v>1385</v>
      </c>
      <c r="P19" s="3" t="s">
        <v>1386</v>
      </c>
      <c r="Q19" s="3" t="s">
        <v>766</v>
      </c>
      <c r="R19" s="3" t="s">
        <v>1387</v>
      </c>
      <c r="S19" s="3" t="s">
        <v>1388</v>
      </c>
      <c r="T19" s="3" t="s">
        <v>1389</v>
      </c>
      <c r="U19" s="3" t="s">
        <v>1390</v>
      </c>
      <c r="V19" s="3" t="s">
        <v>1391</v>
      </c>
      <c r="W19" s="3" t="s">
        <v>1392</v>
      </c>
      <c r="X19" s="3" t="s">
        <v>204</v>
      </c>
      <c r="Y19" s="3" t="s">
        <v>1393</v>
      </c>
      <c r="Z19" s="3" t="s">
        <v>1394</v>
      </c>
      <c r="AA19" s="3" t="s">
        <v>1395</v>
      </c>
      <c r="AB19" s="3" t="s">
        <v>1396</v>
      </c>
      <c r="AC19" s="3" t="s">
        <v>1396</v>
      </c>
      <c r="AD19" s="3" t="s">
        <v>1397</v>
      </c>
      <c r="AE19" s="3" t="s">
        <v>1398</v>
      </c>
      <c r="AF19" s="3" t="s">
        <v>1399</v>
      </c>
      <c r="AG19" s="3" t="s">
        <v>1400</v>
      </c>
      <c r="AH19" s="3" t="s">
        <v>1401</v>
      </c>
      <c r="AI19" s="3" t="s">
        <v>1402</v>
      </c>
      <c r="AJ19" s="3" t="s">
        <v>1403</v>
      </c>
      <c r="AK19" s="3" t="s">
        <v>206</v>
      </c>
      <c r="AL19" s="3" t="s">
        <v>1404</v>
      </c>
      <c r="AM19" s="3" t="s">
        <v>1405</v>
      </c>
      <c r="AN19" s="3" t="s">
        <v>1406</v>
      </c>
      <c r="AO19" s="3" t="s">
        <v>1407</v>
      </c>
      <c r="AP19" s="3" t="s">
        <v>691</v>
      </c>
      <c r="AQ19" s="3" t="s">
        <v>1408</v>
      </c>
      <c r="AR19" s="3" t="s">
        <v>1409</v>
      </c>
      <c r="AS19" s="3" t="s">
        <v>1410</v>
      </c>
      <c r="AT19" s="3" t="s">
        <v>1411</v>
      </c>
      <c r="AU19" s="3" t="s">
        <v>1412</v>
      </c>
      <c r="AV19" s="3" t="s">
        <v>1413</v>
      </c>
      <c r="AW19" s="3" t="s">
        <v>690</v>
      </c>
      <c r="AX19" s="3" t="s">
        <v>790</v>
      </c>
      <c r="AY19" s="3" t="s">
        <v>691</v>
      </c>
      <c r="AZ19" s="3" t="s">
        <v>733</v>
      </c>
      <c r="BA19" s="3" t="s">
        <v>790</v>
      </c>
      <c r="BB19" s="3" t="s">
        <v>690</v>
      </c>
      <c r="BC19" s="3" t="s">
        <v>691</v>
      </c>
      <c r="BD19" s="3" t="s">
        <v>1414</v>
      </c>
      <c r="BE19" s="3" t="s">
        <v>691</v>
      </c>
      <c r="BF19" s="3" t="s">
        <v>1415</v>
      </c>
      <c r="BG19" s="3" t="s">
        <v>1416</v>
      </c>
      <c r="BH19" s="3" t="s">
        <v>1417</v>
      </c>
      <c r="BI19" s="3" t="s">
        <v>1418</v>
      </c>
      <c r="BJ19" s="3" t="s">
        <v>1419</v>
      </c>
      <c r="BK19" s="3" t="s">
        <v>1229</v>
      </c>
      <c r="BL19" s="3" t="s">
        <v>1420</v>
      </c>
      <c r="BM19" s="3" t="s">
        <v>1421</v>
      </c>
      <c r="BN19" s="3" t="s">
        <v>1422</v>
      </c>
      <c r="BO19" s="3" t="s">
        <v>1423</v>
      </c>
      <c r="BP19" s="3" t="s">
        <v>1424</v>
      </c>
      <c r="BQ19" s="3" t="s">
        <v>1425</v>
      </c>
      <c r="BR19" s="3" t="s">
        <v>1426</v>
      </c>
      <c r="BS19" s="3" t="s">
        <v>1427</v>
      </c>
      <c r="BT19" s="3" t="s">
        <v>1428</v>
      </c>
      <c r="BU19" s="3" t="s">
        <v>1429</v>
      </c>
      <c r="BV19" s="3" t="s">
        <v>666</v>
      </c>
      <c r="BW19" s="3" t="s">
        <v>705</v>
      </c>
      <c r="BX19" s="3" t="s">
        <v>1430</v>
      </c>
      <c r="BY19" s="3" t="s">
        <v>1431</v>
      </c>
      <c r="BZ19" s="3" t="s">
        <v>1432</v>
      </c>
      <c r="CA19" s="3" t="s">
        <v>208</v>
      </c>
      <c r="CB19" s="3" t="s">
        <v>1433</v>
      </c>
      <c r="CC19" s="3" t="s">
        <v>12</v>
      </c>
      <c r="CD19"/>
    </row>
    <row r="20" spans="1:82" ht="129.25" customHeight="1">
      <c r="A20" s="3" t="s">
        <v>209</v>
      </c>
      <c r="B20" s="3" t="s">
        <v>1434</v>
      </c>
      <c r="C20" s="3" t="s">
        <v>1435</v>
      </c>
      <c r="D20" s="3" t="s">
        <v>1436</v>
      </c>
      <c r="E20" s="3" t="s">
        <v>902</v>
      </c>
      <c r="F20" s="3" t="s">
        <v>211</v>
      </c>
      <c r="G20" s="3" t="s">
        <v>1437</v>
      </c>
      <c r="H20" s="3" t="s">
        <v>1438</v>
      </c>
      <c r="I20" s="3" t="s">
        <v>654</v>
      </c>
      <c r="J20" s="3" t="s">
        <v>655</v>
      </c>
      <c r="K20" s="3" t="s">
        <v>75</v>
      </c>
      <c r="L20" s="3" t="s">
        <v>656</v>
      </c>
      <c r="M20" s="3" t="s">
        <v>1439</v>
      </c>
      <c r="N20" s="3" t="s">
        <v>212</v>
      </c>
      <c r="O20" s="3" t="s">
        <v>1440</v>
      </c>
      <c r="P20" s="3" t="s">
        <v>1441</v>
      </c>
      <c r="Q20" s="3" t="s">
        <v>861</v>
      </c>
      <c r="R20" s="3" t="s">
        <v>1442</v>
      </c>
      <c r="S20" s="3" t="s">
        <v>863</v>
      </c>
      <c r="T20" s="3" t="s">
        <v>1443</v>
      </c>
      <c r="U20" s="3" t="s">
        <v>1444</v>
      </c>
      <c r="V20" s="3" t="s">
        <v>1445</v>
      </c>
      <c r="W20" s="3" t="s">
        <v>867</v>
      </c>
      <c r="X20" s="3" t="s">
        <v>65</v>
      </c>
      <c r="Y20" s="3" t="s">
        <v>1446</v>
      </c>
      <c r="Z20" s="3" t="s">
        <v>1447</v>
      </c>
      <c r="AA20" s="3" t="s">
        <v>1448</v>
      </c>
      <c r="AB20" s="3" t="s">
        <v>1449</v>
      </c>
      <c r="AC20" s="3" t="s">
        <v>1450</v>
      </c>
      <c r="AD20" s="3" t="s">
        <v>1451</v>
      </c>
      <c r="AE20" s="3" t="s">
        <v>728</v>
      </c>
      <c r="AF20" s="3" t="s">
        <v>1452</v>
      </c>
      <c r="AG20" s="3" t="s">
        <v>666</v>
      </c>
      <c r="AH20" s="3" t="s">
        <v>1453</v>
      </c>
      <c r="AI20" s="3" t="s">
        <v>1454</v>
      </c>
      <c r="AJ20" s="3" t="s">
        <v>1455</v>
      </c>
      <c r="AK20" s="3" t="s">
        <v>55</v>
      </c>
      <c r="AL20" s="3" t="s">
        <v>1456</v>
      </c>
      <c r="AM20" s="3" t="s">
        <v>666</v>
      </c>
      <c r="AN20" s="3" t="s">
        <v>1457</v>
      </c>
      <c r="AO20" s="3" t="s">
        <v>1458</v>
      </c>
      <c r="AP20" s="3" t="s">
        <v>766</v>
      </c>
      <c r="AQ20" s="3" t="s">
        <v>1459</v>
      </c>
      <c r="AR20" s="3" t="s">
        <v>1460</v>
      </c>
      <c r="AS20" s="3" t="s">
        <v>1461</v>
      </c>
      <c r="AT20" s="3" t="s">
        <v>1462</v>
      </c>
      <c r="AU20" s="3" t="s">
        <v>1463</v>
      </c>
      <c r="AV20" s="3" t="s">
        <v>1464</v>
      </c>
      <c r="AW20" s="3" t="s">
        <v>690</v>
      </c>
      <c r="AX20" s="3" t="s">
        <v>790</v>
      </c>
      <c r="AY20" s="3" t="s">
        <v>691</v>
      </c>
      <c r="AZ20" s="3" t="s">
        <v>733</v>
      </c>
      <c r="BA20" s="3" t="s">
        <v>790</v>
      </c>
      <c r="BB20" s="3" t="s">
        <v>690</v>
      </c>
      <c r="BC20" s="3" t="s">
        <v>691</v>
      </c>
      <c r="BD20" s="3" t="s">
        <v>690</v>
      </c>
      <c r="BE20" s="3" t="s">
        <v>691</v>
      </c>
      <c r="BF20" s="3" t="s">
        <v>690</v>
      </c>
      <c r="BG20" s="3" t="s">
        <v>691</v>
      </c>
      <c r="BH20" s="3" t="s">
        <v>1465</v>
      </c>
      <c r="BI20" s="3" t="s">
        <v>1466</v>
      </c>
      <c r="BJ20" s="3" t="s">
        <v>1467</v>
      </c>
      <c r="BK20" s="3" t="s">
        <v>1229</v>
      </c>
      <c r="BL20" s="3" t="s">
        <v>1468</v>
      </c>
      <c r="BM20" s="3" t="s">
        <v>1469</v>
      </c>
      <c r="BN20" s="3" t="s">
        <v>1470</v>
      </c>
      <c r="BO20" s="3" t="s">
        <v>799</v>
      </c>
      <c r="BP20" s="3" t="s">
        <v>701</v>
      </c>
      <c r="BQ20" s="3" t="s">
        <v>666</v>
      </c>
      <c r="BR20" s="3" t="s">
        <v>1471</v>
      </c>
      <c r="BS20" s="3" t="s">
        <v>766</v>
      </c>
      <c r="BT20" s="3" t="s">
        <v>1472</v>
      </c>
      <c r="BU20" s="3" t="s">
        <v>666</v>
      </c>
      <c r="BV20" s="3" t="s">
        <v>680</v>
      </c>
      <c r="BW20" s="3" t="s">
        <v>705</v>
      </c>
      <c r="BX20" s="3" t="s">
        <v>1473</v>
      </c>
      <c r="BY20" s="3" t="s">
        <v>1474</v>
      </c>
      <c r="BZ20" s="3" t="s">
        <v>1475</v>
      </c>
      <c r="CA20" s="3" t="s">
        <v>216</v>
      </c>
      <c r="CB20" s="3" t="s">
        <v>1476</v>
      </c>
      <c r="CC20" s="3" t="s">
        <v>9</v>
      </c>
      <c r="CD20"/>
    </row>
    <row r="21" spans="1:82" ht="124" customHeight="1">
      <c r="A21" s="3" t="s">
        <v>217</v>
      </c>
      <c r="B21" s="3" t="s">
        <v>1477</v>
      </c>
      <c r="C21" s="3" t="s">
        <v>1478</v>
      </c>
      <c r="D21" s="3" t="s">
        <v>1479</v>
      </c>
      <c r="E21" s="3" t="s">
        <v>902</v>
      </c>
      <c r="F21" s="3" t="s">
        <v>219</v>
      </c>
      <c r="G21" s="3" t="s">
        <v>1480</v>
      </c>
      <c r="H21" s="3" t="s">
        <v>1481</v>
      </c>
      <c r="I21" s="3" t="s">
        <v>654</v>
      </c>
      <c r="J21" s="3" t="s">
        <v>655</v>
      </c>
      <c r="K21" s="3" t="s">
        <v>93</v>
      </c>
      <c r="L21" s="3" t="s">
        <v>1482</v>
      </c>
      <c r="M21" s="3" t="s">
        <v>1483</v>
      </c>
      <c r="N21" s="3" t="s">
        <v>220</v>
      </c>
      <c r="O21" s="3" t="s">
        <v>1484</v>
      </c>
      <c r="P21" s="3" t="s">
        <v>1485</v>
      </c>
      <c r="Q21" s="3" t="s">
        <v>861</v>
      </c>
      <c r="R21" s="3" t="s">
        <v>1079</v>
      </c>
      <c r="S21" s="3" t="s">
        <v>863</v>
      </c>
      <c r="T21" s="3" t="s">
        <v>1486</v>
      </c>
      <c r="U21" s="3" t="s">
        <v>669</v>
      </c>
      <c r="V21" s="3" t="s">
        <v>1487</v>
      </c>
      <c r="W21" s="3" t="s">
        <v>867</v>
      </c>
      <c r="X21" s="3" t="s">
        <v>222</v>
      </c>
      <c r="Y21" s="3" t="s">
        <v>1488</v>
      </c>
      <c r="Z21" s="3" t="s">
        <v>1489</v>
      </c>
      <c r="AA21" s="3" t="s">
        <v>669</v>
      </c>
      <c r="AB21" s="3" t="s">
        <v>669</v>
      </c>
      <c r="AC21" s="3" t="s">
        <v>669</v>
      </c>
      <c r="AD21" s="3" t="s">
        <v>1490</v>
      </c>
      <c r="AE21" s="3" t="s">
        <v>728</v>
      </c>
      <c r="AF21" s="3" t="s">
        <v>1491</v>
      </c>
      <c r="AG21" s="3" t="s">
        <v>224</v>
      </c>
      <c r="AH21" s="3" t="s">
        <v>1492</v>
      </c>
      <c r="AI21" s="3" t="s">
        <v>1493</v>
      </c>
      <c r="AJ21" s="3" t="s">
        <v>1494</v>
      </c>
      <c r="AK21" s="3" t="s">
        <v>224</v>
      </c>
      <c r="AL21" s="3" t="s">
        <v>1495</v>
      </c>
      <c r="AM21" s="3" t="s">
        <v>666</v>
      </c>
      <c r="AN21" s="3" t="s">
        <v>1496</v>
      </c>
      <c r="AO21" s="3" t="s">
        <v>1497</v>
      </c>
      <c r="AP21" s="3" t="s">
        <v>691</v>
      </c>
      <c r="AQ21" s="3" t="s">
        <v>1498</v>
      </c>
      <c r="AR21" s="3" t="s">
        <v>1499</v>
      </c>
      <c r="AS21" s="3" t="s">
        <v>669</v>
      </c>
      <c r="AT21" s="3" t="s">
        <v>733</v>
      </c>
      <c r="AU21" s="3" t="s">
        <v>1500</v>
      </c>
      <c r="AV21" s="3" t="s">
        <v>1501</v>
      </c>
      <c r="AW21" s="3" t="s">
        <v>1502</v>
      </c>
      <c r="AX21" s="3" t="s">
        <v>669</v>
      </c>
      <c r="AY21" s="3" t="s">
        <v>691</v>
      </c>
      <c r="AZ21" s="3" t="s">
        <v>1503</v>
      </c>
      <c r="BA21" s="3" t="s">
        <v>1504</v>
      </c>
      <c r="BB21" s="3" t="s">
        <v>690</v>
      </c>
      <c r="BC21" s="3" t="s">
        <v>691</v>
      </c>
      <c r="BD21" s="3" t="s">
        <v>690</v>
      </c>
      <c r="BE21" s="3" t="s">
        <v>691</v>
      </c>
      <c r="BF21" s="3" t="s">
        <v>690</v>
      </c>
      <c r="BG21" s="3" t="s">
        <v>691</v>
      </c>
      <c r="BH21" s="3" t="s">
        <v>1505</v>
      </c>
      <c r="BI21" s="3" t="s">
        <v>1506</v>
      </c>
      <c r="BJ21" s="3" t="s">
        <v>1507</v>
      </c>
      <c r="BK21" s="3" t="s">
        <v>696</v>
      </c>
      <c r="BL21" s="3" t="s">
        <v>1508</v>
      </c>
      <c r="BM21" s="3" t="s">
        <v>1509</v>
      </c>
      <c r="BN21" s="3" t="s">
        <v>669</v>
      </c>
      <c r="BO21" s="3" t="s">
        <v>799</v>
      </c>
      <c r="BP21" s="3" t="s">
        <v>701</v>
      </c>
      <c r="BQ21" s="3" t="s">
        <v>1510</v>
      </c>
      <c r="BR21" s="3" t="s">
        <v>1233</v>
      </c>
      <c r="BS21" s="3" t="s">
        <v>225</v>
      </c>
      <c r="BT21" s="3" t="s">
        <v>1511</v>
      </c>
      <c r="BU21" s="3" t="s">
        <v>1512</v>
      </c>
      <c r="BV21" s="3" t="s">
        <v>680</v>
      </c>
      <c r="BW21" s="3" t="s">
        <v>705</v>
      </c>
      <c r="BX21" s="3" t="s">
        <v>1513</v>
      </c>
      <c r="BY21" s="3" t="s">
        <v>1514</v>
      </c>
      <c r="BZ21" s="3" t="s">
        <v>1515</v>
      </c>
      <c r="CA21" s="3" t="s">
        <v>1516</v>
      </c>
      <c r="CB21" s="3" t="s">
        <v>669</v>
      </c>
      <c r="CC21" s="3" t="s">
        <v>9</v>
      </c>
      <c r="CD21"/>
    </row>
    <row r="22" spans="1:82" ht="164" customHeight="1">
      <c r="A22" s="3" t="s">
        <v>227</v>
      </c>
      <c r="B22" s="3" t="s">
        <v>1517</v>
      </c>
      <c r="C22" s="3" t="s">
        <v>1518</v>
      </c>
      <c r="D22" s="3" t="s">
        <v>1519</v>
      </c>
      <c r="E22" s="3" t="s">
        <v>902</v>
      </c>
      <c r="F22" s="3" t="s">
        <v>229</v>
      </c>
      <c r="G22" s="3" t="s">
        <v>1200</v>
      </c>
      <c r="H22" s="3" t="s">
        <v>1520</v>
      </c>
      <c r="I22" s="3" t="s">
        <v>654</v>
      </c>
      <c r="J22" s="3" t="s">
        <v>1029</v>
      </c>
      <c r="K22" s="3" t="s">
        <v>231</v>
      </c>
      <c r="L22" s="3" t="s">
        <v>656</v>
      </c>
      <c r="M22" s="3" t="s">
        <v>1521</v>
      </c>
      <c r="N22" s="3" t="s">
        <v>230</v>
      </c>
      <c r="O22" s="3" t="s">
        <v>1522</v>
      </c>
      <c r="P22" s="3" t="s">
        <v>1523</v>
      </c>
      <c r="Q22" s="3" t="s">
        <v>660</v>
      </c>
      <c r="R22" s="3" t="s">
        <v>1297</v>
      </c>
      <c r="S22" s="3" t="s">
        <v>1524</v>
      </c>
      <c r="T22" s="3" t="s">
        <v>1525</v>
      </c>
      <c r="U22" s="3" t="s">
        <v>669</v>
      </c>
      <c r="V22" s="3" t="s">
        <v>724</v>
      </c>
      <c r="W22" s="3" t="s">
        <v>867</v>
      </c>
      <c r="X22" s="3" t="s">
        <v>65</v>
      </c>
      <c r="Y22" s="3" t="s">
        <v>1526</v>
      </c>
      <c r="Z22" s="3" t="s">
        <v>1527</v>
      </c>
      <c r="AA22" s="3" t="s">
        <v>1528</v>
      </c>
      <c r="AB22" s="3" t="s">
        <v>1529</v>
      </c>
      <c r="AC22" s="3" t="s">
        <v>1530</v>
      </c>
      <c r="AD22" s="3" t="s">
        <v>1531</v>
      </c>
      <c r="AE22" s="3" t="s">
        <v>1532</v>
      </c>
      <c r="AF22" s="3" t="s">
        <v>1533</v>
      </c>
      <c r="AG22" s="3" t="s">
        <v>666</v>
      </c>
      <c r="AH22" s="3" t="s">
        <v>1534</v>
      </c>
      <c r="AI22" s="3" t="s">
        <v>1535</v>
      </c>
      <c r="AJ22" s="3" t="s">
        <v>1536</v>
      </c>
      <c r="AK22" s="3" t="s">
        <v>67</v>
      </c>
      <c r="AL22" s="3" t="s">
        <v>666</v>
      </c>
      <c r="AM22" s="3" t="s">
        <v>666</v>
      </c>
      <c r="AN22" s="3" t="s">
        <v>1537</v>
      </c>
      <c r="AO22" s="3" t="s">
        <v>690</v>
      </c>
      <c r="AP22" s="3" t="s">
        <v>691</v>
      </c>
      <c r="AQ22" s="3" t="s">
        <v>733</v>
      </c>
      <c r="AR22" s="3" t="s">
        <v>734</v>
      </c>
      <c r="AS22" s="3" t="s">
        <v>734</v>
      </c>
      <c r="AT22" s="3" t="s">
        <v>733</v>
      </c>
      <c r="AU22" s="3" t="s">
        <v>733</v>
      </c>
      <c r="AV22" s="3" t="s">
        <v>1538</v>
      </c>
      <c r="AW22" s="3" t="s">
        <v>1539</v>
      </c>
      <c r="AX22" s="3" t="s">
        <v>1540</v>
      </c>
      <c r="AY22" s="3" t="s">
        <v>687</v>
      </c>
      <c r="AZ22" s="3" t="s">
        <v>666</v>
      </c>
      <c r="BA22" s="3" t="s">
        <v>1541</v>
      </c>
      <c r="BB22" s="3" t="s">
        <v>1542</v>
      </c>
      <c r="BC22" s="3" t="s">
        <v>687</v>
      </c>
      <c r="BD22" s="3" t="s">
        <v>1543</v>
      </c>
      <c r="BE22" s="3" t="s">
        <v>691</v>
      </c>
      <c r="BF22" s="3" t="s">
        <v>1544</v>
      </c>
      <c r="BG22" s="3" t="s">
        <v>687</v>
      </c>
      <c r="BH22" s="3" t="s">
        <v>1545</v>
      </c>
      <c r="BI22" s="3" t="s">
        <v>1546</v>
      </c>
      <c r="BJ22" s="3" t="s">
        <v>666</v>
      </c>
      <c r="BK22" s="3" t="s">
        <v>696</v>
      </c>
      <c r="BL22" s="3" t="s">
        <v>1547</v>
      </c>
      <c r="BM22" s="3" t="s">
        <v>1548</v>
      </c>
      <c r="BN22" s="3" t="s">
        <v>1549</v>
      </c>
      <c r="BO22" s="3" t="s">
        <v>1550</v>
      </c>
      <c r="BP22" s="3" t="s">
        <v>1551</v>
      </c>
      <c r="BQ22" s="3" t="s">
        <v>1552</v>
      </c>
      <c r="BR22" s="3" t="s">
        <v>1553</v>
      </c>
      <c r="BS22" s="3" t="s">
        <v>703</v>
      </c>
      <c r="BT22" s="3" t="s">
        <v>1554</v>
      </c>
      <c r="BU22" s="3" t="s">
        <v>666</v>
      </c>
      <c r="BV22" s="3" t="s">
        <v>680</v>
      </c>
      <c r="BW22" s="3" t="s">
        <v>705</v>
      </c>
      <c r="BX22" s="3" t="s">
        <v>1555</v>
      </c>
      <c r="BY22" s="3" t="s">
        <v>1556</v>
      </c>
      <c r="BZ22" s="3" t="s">
        <v>1557</v>
      </c>
      <c r="CA22" s="3" t="s">
        <v>1558</v>
      </c>
      <c r="CB22" s="3" t="s">
        <v>1559</v>
      </c>
      <c r="CC22" s="3" t="s">
        <v>710</v>
      </c>
      <c r="CD22"/>
    </row>
    <row r="23" spans="1:82" ht="145.25" customHeight="1">
      <c r="A23" s="3" t="s">
        <v>236</v>
      </c>
      <c r="B23" s="3" t="s">
        <v>1560</v>
      </c>
      <c r="C23" s="3" t="s">
        <v>1561</v>
      </c>
      <c r="D23" s="3" t="s">
        <v>1562</v>
      </c>
      <c r="E23" s="3" t="s">
        <v>902</v>
      </c>
      <c r="F23" s="3" t="s">
        <v>238</v>
      </c>
      <c r="G23" s="3" t="s">
        <v>1200</v>
      </c>
      <c r="H23" s="3" t="s">
        <v>1563</v>
      </c>
      <c r="I23" s="3" t="s">
        <v>654</v>
      </c>
      <c r="J23" s="3" t="s">
        <v>655</v>
      </c>
      <c r="K23" s="3" t="s">
        <v>240</v>
      </c>
      <c r="L23" s="3" t="s">
        <v>656</v>
      </c>
      <c r="M23" s="3" t="s">
        <v>1564</v>
      </c>
      <c r="N23" s="3" t="s">
        <v>239</v>
      </c>
      <c r="O23" s="3" t="s">
        <v>1565</v>
      </c>
      <c r="P23" s="3" t="s">
        <v>1566</v>
      </c>
      <c r="Q23" s="3" t="s">
        <v>660</v>
      </c>
      <c r="R23" s="3" t="s">
        <v>720</v>
      </c>
      <c r="S23" s="3" t="s">
        <v>1567</v>
      </c>
      <c r="T23" s="3" t="s">
        <v>1568</v>
      </c>
      <c r="U23" s="3" t="s">
        <v>1569</v>
      </c>
      <c r="V23" s="3" t="s">
        <v>1570</v>
      </c>
      <c r="W23" s="3" t="s">
        <v>666</v>
      </c>
      <c r="X23" s="3" t="s">
        <v>65</v>
      </c>
      <c r="Y23" s="3" t="s">
        <v>1571</v>
      </c>
      <c r="Z23" s="3" t="s">
        <v>1572</v>
      </c>
      <c r="AA23" s="3" t="s">
        <v>1573</v>
      </c>
      <c r="AB23" s="3" t="s">
        <v>1574</v>
      </c>
      <c r="AC23" s="3" t="s">
        <v>1575</v>
      </c>
      <c r="AD23" s="3" t="s">
        <v>1576</v>
      </c>
      <c r="AE23" s="3" t="s">
        <v>1577</v>
      </c>
      <c r="AF23" s="3" t="s">
        <v>1578</v>
      </c>
      <c r="AG23" s="3" t="s">
        <v>666</v>
      </c>
      <c r="AH23" s="3" t="s">
        <v>1453</v>
      </c>
      <c r="AI23" s="3" t="s">
        <v>1579</v>
      </c>
      <c r="AJ23" s="3" t="s">
        <v>1580</v>
      </c>
      <c r="AK23" s="3" t="s">
        <v>55</v>
      </c>
      <c r="AL23" s="3" t="s">
        <v>666</v>
      </c>
      <c r="AM23" s="3" t="s">
        <v>666</v>
      </c>
      <c r="AN23" s="3" t="s">
        <v>1581</v>
      </c>
      <c r="AO23" s="3" t="s">
        <v>690</v>
      </c>
      <c r="AP23" s="3" t="s">
        <v>691</v>
      </c>
      <c r="AQ23" s="3" t="s">
        <v>733</v>
      </c>
      <c r="AR23" s="3" t="s">
        <v>734</v>
      </c>
      <c r="AS23" s="3" t="s">
        <v>734</v>
      </c>
      <c r="AT23" s="3" t="s">
        <v>733</v>
      </c>
      <c r="AU23" s="3" t="s">
        <v>733</v>
      </c>
      <c r="AV23" s="3" t="s">
        <v>1582</v>
      </c>
      <c r="AW23" s="3" t="s">
        <v>1583</v>
      </c>
      <c r="AX23" s="3" t="s">
        <v>790</v>
      </c>
      <c r="AY23" s="3" t="s">
        <v>691</v>
      </c>
      <c r="AZ23" s="3" t="s">
        <v>733</v>
      </c>
      <c r="BA23" s="3" t="s">
        <v>790</v>
      </c>
      <c r="BB23" s="3" t="s">
        <v>690</v>
      </c>
      <c r="BC23" s="3" t="s">
        <v>691</v>
      </c>
      <c r="BD23" s="3" t="s">
        <v>1584</v>
      </c>
      <c r="BE23" s="3" t="s">
        <v>687</v>
      </c>
      <c r="BF23" s="3" t="s">
        <v>1585</v>
      </c>
      <c r="BG23" s="3" t="s">
        <v>1586</v>
      </c>
      <c r="BH23" s="3" t="s">
        <v>1587</v>
      </c>
      <c r="BI23" s="3" t="s">
        <v>1588</v>
      </c>
      <c r="BJ23" s="3" t="s">
        <v>666</v>
      </c>
      <c r="BK23" s="3" t="s">
        <v>696</v>
      </c>
      <c r="BL23" s="3" t="s">
        <v>1589</v>
      </c>
      <c r="BM23" s="3" t="s">
        <v>1590</v>
      </c>
      <c r="BN23" s="3" t="s">
        <v>1591</v>
      </c>
      <c r="BO23" s="3" t="s">
        <v>1592</v>
      </c>
      <c r="BP23" s="3" t="s">
        <v>1593</v>
      </c>
      <c r="BQ23" s="3" t="s">
        <v>1594</v>
      </c>
      <c r="BR23" s="3" t="s">
        <v>1595</v>
      </c>
      <c r="BS23" s="3" t="s">
        <v>703</v>
      </c>
      <c r="BT23" s="3" t="s">
        <v>1596</v>
      </c>
      <c r="BU23" s="3" t="s">
        <v>666</v>
      </c>
      <c r="BV23" s="3" t="s">
        <v>680</v>
      </c>
      <c r="BW23" s="3" t="s">
        <v>705</v>
      </c>
      <c r="BX23" s="3" t="s">
        <v>1597</v>
      </c>
      <c r="BY23" s="3" t="s">
        <v>1598</v>
      </c>
      <c r="BZ23" s="3" t="s">
        <v>1599</v>
      </c>
      <c r="CA23" s="3" t="s">
        <v>1600</v>
      </c>
      <c r="CB23" s="3" t="s">
        <v>1601</v>
      </c>
      <c r="CC23" s="3" t="s">
        <v>12</v>
      </c>
      <c r="CD23"/>
    </row>
    <row r="24" spans="1:82" ht="174.75" customHeight="1">
      <c r="A24" s="3" t="s">
        <v>246</v>
      </c>
      <c r="B24" s="3" t="s">
        <v>1602</v>
      </c>
      <c r="C24" s="3" t="s">
        <v>1603</v>
      </c>
      <c r="D24" s="3" t="s">
        <v>1604</v>
      </c>
      <c r="E24" s="3" t="s">
        <v>902</v>
      </c>
      <c r="F24" s="3" t="s">
        <v>248</v>
      </c>
      <c r="G24" s="3" t="s">
        <v>1200</v>
      </c>
      <c r="H24" s="3" t="s">
        <v>1605</v>
      </c>
      <c r="I24" s="3" t="s">
        <v>654</v>
      </c>
      <c r="J24" s="3" t="s">
        <v>655</v>
      </c>
      <c r="K24" s="3" t="s">
        <v>250</v>
      </c>
      <c r="L24" s="3" t="s">
        <v>1606</v>
      </c>
      <c r="M24" s="3" t="s">
        <v>1607</v>
      </c>
      <c r="N24" s="3" t="s">
        <v>249</v>
      </c>
      <c r="O24" s="3" t="s">
        <v>1608</v>
      </c>
      <c r="P24" s="3" t="s">
        <v>1609</v>
      </c>
      <c r="Q24" s="3" t="s">
        <v>1610</v>
      </c>
      <c r="R24" s="3" t="s">
        <v>1611</v>
      </c>
      <c r="S24" s="3" t="s">
        <v>1612</v>
      </c>
      <c r="T24" s="3" t="s">
        <v>1613</v>
      </c>
      <c r="U24" s="3" t="s">
        <v>1614</v>
      </c>
      <c r="V24" s="3" t="s">
        <v>1615</v>
      </c>
      <c r="W24" s="3" t="s">
        <v>1616</v>
      </c>
      <c r="X24" s="3" t="s">
        <v>252</v>
      </c>
      <c r="Y24" s="3" t="s">
        <v>1617</v>
      </c>
      <c r="Z24" s="3" t="s">
        <v>1618</v>
      </c>
      <c r="AA24" s="3" t="s">
        <v>1619</v>
      </c>
      <c r="AB24" s="3" t="s">
        <v>1620</v>
      </c>
      <c r="AC24" s="3" t="s">
        <v>1620</v>
      </c>
      <c r="AD24" s="3" t="s">
        <v>1621</v>
      </c>
      <c r="AE24" s="3" t="s">
        <v>1622</v>
      </c>
      <c r="AF24" s="3" t="s">
        <v>1623</v>
      </c>
      <c r="AG24" s="3" t="s">
        <v>1624</v>
      </c>
      <c r="AH24" s="3" t="s">
        <v>1625</v>
      </c>
      <c r="AI24" s="3" t="s">
        <v>1626</v>
      </c>
      <c r="AJ24" s="3" t="s">
        <v>733</v>
      </c>
      <c r="AK24" s="3" t="s">
        <v>254</v>
      </c>
      <c r="AL24" s="3" t="s">
        <v>733</v>
      </c>
      <c r="AM24" s="3" t="s">
        <v>733</v>
      </c>
      <c r="AN24" s="3" t="s">
        <v>1627</v>
      </c>
      <c r="AO24" s="3" t="s">
        <v>1628</v>
      </c>
      <c r="AP24" s="3" t="s">
        <v>691</v>
      </c>
      <c r="AQ24" s="3" t="s">
        <v>733</v>
      </c>
      <c r="AR24" s="3" t="s">
        <v>1629</v>
      </c>
      <c r="AS24" s="3" t="s">
        <v>1630</v>
      </c>
      <c r="AT24" s="3" t="s">
        <v>1631</v>
      </c>
      <c r="AU24" s="3" t="s">
        <v>1632</v>
      </c>
      <c r="AV24" s="3" t="s">
        <v>1633</v>
      </c>
      <c r="AW24" s="3" t="s">
        <v>1634</v>
      </c>
      <c r="AX24" s="3" t="s">
        <v>1630</v>
      </c>
      <c r="AY24" s="3" t="s">
        <v>1635</v>
      </c>
      <c r="AZ24" s="3" t="s">
        <v>733</v>
      </c>
      <c r="BA24" s="3" t="s">
        <v>1636</v>
      </c>
      <c r="BB24" s="3" t="s">
        <v>1637</v>
      </c>
      <c r="BC24" s="3" t="s">
        <v>1635</v>
      </c>
      <c r="BD24" s="3" t="s">
        <v>1638</v>
      </c>
      <c r="BE24" s="3" t="s">
        <v>1639</v>
      </c>
      <c r="BF24" s="3" t="s">
        <v>690</v>
      </c>
      <c r="BG24" s="3" t="s">
        <v>691</v>
      </c>
      <c r="BH24" s="3" t="s">
        <v>1640</v>
      </c>
      <c r="BI24" s="3" t="s">
        <v>733</v>
      </c>
      <c r="BJ24" s="3" t="s">
        <v>733</v>
      </c>
      <c r="BK24" s="3" t="s">
        <v>733</v>
      </c>
      <c r="BL24" s="3" t="s">
        <v>1641</v>
      </c>
      <c r="BM24" s="3" t="s">
        <v>1642</v>
      </c>
      <c r="BN24" s="3" t="s">
        <v>733</v>
      </c>
      <c r="BO24" s="3" t="s">
        <v>1643</v>
      </c>
      <c r="BP24" s="3" t="s">
        <v>701</v>
      </c>
      <c r="BQ24" s="3" t="s">
        <v>1644</v>
      </c>
      <c r="BR24" s="3" t="s">
        <v>1645</v>
      </c>
      <c r="BS24" s="3" t="s">
        <v>1646</v>
      </c>
      <c r="BT24" s="3" t="s">
        <v>1647</v>
      </c>
      <c r="BU24" s="3" t="s">
        <v>680</v>
      </c>
      <c r="BV24" s="3" t="s">
        <v>666</v>
      </c>
      <c r="BW24" s="3" t="s">
        <v>705</v>
      </c>
      <c r="BX24" s="3" t="s">
        <v>1648</v>
      </c>
      <c r="BY24" s="3" t="s">
        <v>1649</v>
      </c>
      <c r="BZ24" s="3" t="s">
        <v>1650</v>
      </c>
      <c r="CA24" s="3" t="s">
        <v>256</v>
      </c>
      <c r="CB24" s="3" t="s">
        <v>1651</v>
      </c>
      <c r="CC24" s="3" t="s">
        <v>1239</v>
      </c>
      <c r="CD24"/>
    </row>
    <row r="25" spans="1:82" ht="145.25" customHeight="1">
      <c r="A25" s="3" t="s">
        <v>257</v>
      </c>
      <c r="B25" s="3" t="s">
        <v>1652</v>
      </c>
      <c r="C25" s="3" t="s">
        <v>1653</v>
      </c>
      <c r="D25" s="3" t="s">
        <v>1654</v>
      </c>
      <c r="E25" s="3" t="s">
        <v>902</v>
      </c>
      <c r="F25" s="3" t="s">
        <v>259</v>
      </c>
      <c r="G25" s="3" t="s">
        <v>1655</v>
      </c>
      <c r="H25" s="3" t="s">
        <v>1656</v>
      </c>
      <c r="I25" s="3" t="s">
        <v>654</v>
      </c>
      <c r="J25" s="3" t="s">
        <v>3175</v>
      </c>
      <c r="K25" s="3" t="s">
        <v>63</v>
      </c>
      <c r="L25" s="3" t="s">
        <v>656</v>
      </c>
      <c r="M25" s="3" t="s">
        <v>1657</v>
      </c>
      <c r="N25" s="3" t="s">
        <v>260</v>
      </c>
      <c r="O25" s="3" t="s">
        <v>1658</v>
      </c>
      <c r="P25" s="3" t="s">
        <v>1659</v>
      </c>
      <c r="Q25" s="3" t="s">
        <v>660</v>
      </c>
      <c r="R25" s="3" t="s">
        <v>1660</v>
      </c>
      <c r="S25" s="3" t="s">
        <v>1661</v>
      </c>
      <c r="T25" s="3" t="s">
        <v>1662</v>
      </c>
      <c r="U25" s="3" t="s">
        <v>1663</v>
      </c>
      <c r="V25" s="3" t="s">
        <v>1664</v>
      </c>
      <c r="W25" s="3" t="s">
        <v>867</v>
      </c>
      <c r="X25" s="3" t="s">
        <v>1665</v>
      </c>
      <c r="Y25" s="3" t="s">
        <v>1666</v>
      </c>
      <c r="Z25" s="3" t="s">
        <v>1667</v>
      </c>
      <c r="AA25" s="3" t="s">
        <v>1668</v>
      </c>
      <c r="AB25" s="3" t="s">
        <v>1669</v>
      </c>
      <c r="AC25" s="3" t="s">
        <v>1670</v>
      </c>
      <c r="AD25" s="3" t="s">
        <v>1671</v>
      </c>
      <c r="AE25" s="3" t="s">
        <v>728</v>
      </c>
      <c r="AF25" s="3" t="s">
        <v>1672</v>
      </c>
      <c r="AG25" s="3" t="s">
        <v>666</v>
      </c>
      <c r="AH25" s="3" t="s">
        <v>1673</v>
      </c>
      <c r="AI25" s="3" t="s">
        <v>1674</v>
      </c>
      <c r="AJ25" s="3" t="s">
        <v>1675</v>
      </c>
      <c r="AK25" s="3" t="s">
        <v>55</v>
      </c>
      <c r="AL25" s="3" t="s">
        <v>1676</v>
      </c>
      <c r="AM25" s="3" t="s">
        <v>1677</v>
      </c>
      <c r="AN25" s="3" t="s">
        <v>1678</v>
      </c>
      <c r="AO25" s="3" t="s">
        <v>1679</v>
      </c>
      <c r="AP25" s="3" t="s">
        <v>1173</v>
      </c>
      <c r="AQ25" s="3" t="s">
        <v>1680</v>
      </c>
      <c r="AR25" s="3" t="s">
        <v>1681</v>
      </c>
      <c r="AS25" s="3" t="s">
        <v>1682</v>
      </c>
      <c r="AT25" s="3" t="s">
        <v>1683</v>
      </c>
      <c r="AU25" s="3" t="s">
        <v>1684</v>
      </c>
      <c r="AV25" s="3" t="s">
        <v>1685</v>
      </c>
      <c r="AW25" s="3" t="s">
        <v>1686</v>
      </c>
      <c r="AX25" s="3" t="s">
        <v>1687</v>
      </c>
      <c r="AY25" s="3" t="s">
        <v>1688</v>
      </c>
      <c r="AZ25" s="3" t="s">
        <v>1689</v>
      </c>
      <c r="BA25" s="3" t="s">
        <v>1690</v>
      </c>
      <c r="BB25" s="3" t="s">
        <v>690</v>
      </c>
      <c r="BC25" s="3" t="s">
        <v>691</v>
      </c>
      <c r="BD25" s="3" t="s">
        <v>690</v>
      </c>
      <c r="BE25" s="3" t="s">
        <v>691</v>
      </c>
      <c r="BF25" s="3" t="s">
        <v>1691</v>
      </c>
      <c r="BG25" s="3" t="s">
        <v>1692</v>
      </c>
      <c r="BH25" s="3" t="s">
        <v>1693</v>
      </c>
      <c r="BI25" s="3" t="s">
        <v>1694</v>
      </c>
      <c r="BJ25" s="3" t="s">
        <v>1695</v>
      </c>
      <c r="BK25" s="3" t="s">
        <v>1696</v>
      </c>
      <c r="BL25" s="3" t="s">
        <v>1697</v>
      </c>
      <c r="BM25" s="3" t="s">
        <v>1698</v>
      </c>
      <c r="BN25" s="3" t="s">
        <v>1699</v>
      </c>
      <c r="BO25" s="3" t="s">
        <v>1700</v>
      </c>
      <c r="BP25" s="3" t="s">
        <v>1701</v>
      </c>
      <c r="BQ25" s="3" t="s">
        <v>1702</v>
      </c>
      <c r="BR25" s="3" t="s">
        <v>1703</v>
      </c>
      <c r="BS25" s="3" t="s">
        <v>1704</v>
      </c>
      <c r="BT25" s="3" t="s">
        <v>1705</v>
      </c>
      <c r="BU25" s="3" t="s">
        <v>1706</v>
      </c>
      <c r="BV25" s="3" t="s">
        <v>680</v>
      </c>
      <c r="BW25" s="3" t="s">
        <v>705</v>
      </c>
      <c r="BX25" s="3" t="s">
        <v>1707</v>
      </c>
      <c r="BY25" s="3" t="s">
        <v>1708</v>
      </c>
      <c r="BZ25" s="3" t="s">
        <v>1709</v>
      </c>
      <c r="CA25" s="3" t="s">
        <v>1710</v>
      </c>
      <c r="CB25" s="3" t="s">
        <v>3176</v>
      </c>
      <c r="CC25" s="3" t="s">
        <v>756</v>
      </c>
      <c r="CD25"/>
    </row>
    <row r="26" spans="1:82" ht="133.25" customHeight="1">
      <c r="A26" s="3" t="s">
        <v>265</v>
      </c>
      <c r="B26" s="3" t="s">
        <v>1711</v>
      </c>
      <c r="C26" s="3" t="s">
        <v>1712</v>
      </c>
      <c r="D26" s="3" t="s">
        <v>1713</v>
      </c>
      <c r="E26" s="3" t="s">
        <v>902</v>
      </c>
      <c r="F26" s="3" t="s">
        <v>267</v>
      </c>
      <c r="G26" s="3" t="s">
        <v>1714</v>
      </c>
      <c r="H26" s="3" t="s">
        <v>1715</v>
      </c>
      <c r="I26" s="3" t="s">
        <v>654</v>
      </c>
      <c r="J26" s="3" t="s">
        <v>655</v>
      </c>
      <c r="K26" s="3" t="s">
        <v>269</v>
      </c>
      <c r="L26" s="3" t="s">
        <v>656</v>
      </c>
      <c r="M26" s="3" t="s">
        <v>1716</v>
      </c>
      <c r="N26" s="3" t="s">
        <v>268</v>
      </c>
      <c r="O26" s="3" t="s">
        <v>1717</v>
      </c>
      <c r="P26" s="3" t="s">
        <v>1718</v>
      </c>
      <c r="Q26" s="3" t="s">
        <v>861</v>
      </c>
      <c r="R26" s="3" t="s">
        <v>1079</v>
      </c>
      <c r="S26" s="3" t="s">
        <v>863</v>
      </c>
      <c r="T26" s="3" t="s">
        <v>1719</v>
      </c>
      <c r="U26" s="3" t="s">
        <v>1720</v>
      </c>
      <c r="V26" s="3" t="s">
        <v>1721</v>
      </c>
      <c r="W26" s="3" t="s">
        <v>680</v>
      </c>
      <c r="X26" s="3" t="s">
        <v>65</v>
      </c>
      <c r="Y26" s="3" t="s">
        <v>1722</v>
      </c>
      <c r="Z26" s="3" t="s">
        <v>1723</v>
      </c>
      <c r="AA26" s="3" t="s">
        <v>669</v>
      </c>
      <c r="AB26" s="3" t="s">
        <v>669</v>
      </c>
      <c r="AC26" s="3" t="s">
        <v>669</v>
      </c>
      <c r="AD26" s="3" t="s">
        <v>1451</v>
      </c>
      <c r="AE26" s="3" t="s">
        <v>728</v>
      </c>
      <c r="AF26" s="3" t="s">
        <v>1724</v>
      </c>
      <c r="AG26" s="3" t="s">
        <v>666</v>
      </c>
      <c r="AH26" s="3" t="s">
        <v>1725</v>
      </c>
      <c r="AI26" s="3" t="s">
        <v>1726</v>
      </c>
      <c r="AJ26" s="3" t="s">
        <v>1727</v>
      </c>
      <c r="AK26" s="3" t="s">
        <v>55</v>
      </c>
      <c r="AL26" s="3" t="s">
        <v>666</v>
      </c>
      <c r="AM26" s="3" t="s">
        <v>666</v>
      </c>
      <c r="AN26" s="3" t="s">
        <v>1728</v>
      </c>
      <c r="AO26" s="3" t="s">
        <v>1729</v>
      </c>
      <c r="AP26" s="3" t="s">
        <v>1730</v>
      </c>
      <c r="AQ26" s="3" t="s">
        <v>1731</v>
      </c>
      <c r="AR26" s="3" t="s">
        <v>1732</v>
      </c>
      <c r="AS26" s="3" t="s">
        <v>1733</v>
      </c>
      <c r="AT26" s="3" t="s">
        <v>1734</v>
      </c>
      <c r="AU26" s="3" t="s">
        <v>1735</v>
      </c>
      <c r="AV26" s="3" t="s">
        <v>1736</v>
      </c>
      <c r="AW26" s="3" t="s">
        <v>690</v>
      </c>
      <c r="AX26" s="3" t="s">
        <v>790</v>
      </c>
      <c r="AY26" s="3" t="s">
        <v>691</v>
      </c>
      <c r="AZ26" s="3" t="s">
        <v>733</v>
      </c>
      <c r="BA26" s="3" t="s">
        <v>790</v>
      </c>
      <c r="BB26" s="3" t="s">
        <v>690</v>
      </c>
      <c r="BC26" s="3" t="s">
        <v>691</v>
      </c>
      <c r="BD26" s="3" t="s">
        <v>690</v>
      </c>
      <c r="BE26" s="3" t="s">
        <v>691</v>
      </c>
      <c r="BF26" s="3" t="s">
        <v>1737</v>
      </c>
      <c r="BG26" s="3" t="s">
        <v>691</v>
      </c>
      <c r="BH26" s="3" t="s">
        <v>1738</v>
      </c>
      <c r="BI26" s="3" t="s">
        <v>1739</v>
      </c>
      <c r="BJ26" s="3" t="s">
        <v>1740</v>
      </c>
      <c r="BK26" s="3" t="s">
        <v>1741</v>
      </c>
      <c r="BL26" s="3" t="s">
        <v>1742</v>
      </c>
      <c r="BM26" s="3" t="s">
        <v>1743</v>
      </c>
      <c r="BN26" s="3" t="s">
        <v>1744</v>
      </c>
      <c r="BO26" s="3" t="s">
        <v>799</v>
      </c>
      <c r="BP26" s="3" t="s">
        <v>701</v>
      </c>
      <c r="BQ26" s="3" t="s">
        <v>666</v>
      </c>
      <c r="BR26" s="3" t="s">
        <v>1745</v>
      </c>
      <c r="BS26" s="3" t="s">
        <v>1746</v>
      </c>
      <c r="BT26" s="3" t="s">
        <v>1747</v>
      </c>
      <c r="BU26" s="3" t="s">
        <v>1748</v>
      </c>
      <c r="BV26" s="3" t="s">
        <v>680</v>
      </c>
      <c r="BW26" s="3" t="s">
        <v>705</v>
      </c>
      <c r="BX26" s="3" t="s">
        <v>1749</v>
      </c>
      <c r="BY26" s="3" t="s">
        <v>1750</v>
      </c>
      <c r="BZ26" s="3" t="s">
        <v>1751</v>
      </c>
      <c r="CA26" s="3" t="s">
        <v>273</v>
      </c>
      <c r="CB26" s="3" t="s">
        <v>1752</v>
      </c>
      <c r="CC26" s="3" t="s">
        <v>1753</v>
      </c>
      <c r="CD26"/>
    </row>
    <row r="27" spans="1:82" ht="132" customHeight="1">
      <c r="A27" s="3" t="s">
        <v>274</v>
      </c>
      <c r="B27" s="3" t="s">
        <v>1754</v>
      </c>
      <c r="C27" s="3" t="s">
        <v>1755</v>
      </c>
      <c r="D27" s="3" t="s">
        <v>1756</v>
      </c>
      <c r="E27" s="3" t="s">
        <v>714</v>
      </c>
      <c r="F27" s="3" t="s">
        <v>276</v>
      </c>
      <c r="G27" s="3" t="s">
        <v>903</v>
      </c>
      <c r="H27" s="3" t="s">
        <v>1757</v>
      </c>
      <c r="I27" s="3" t="s">
        <v>654</v>
      </c>
      <c r="J27" s="3" t="s">
        <v>655</v>
      </c>
      <c r="K27" s="3" t="s">
        <v>278</v>
      </c>
      <c r="L27" s="3" t="s">
        <v>1758</v>
      </c>
      <c r="M27" s="3" t="s">
        <v>1759</v>
      </c>
      <c r="N27" s="3" t="s">
        <v>277</v>
      </c>
      <c r="O27" s="3" t="s">
        <v>1760</v>
      </c>
      <c r="P27" s="3" t="s">
        <v>1761</v>
      </c>
      <c r="Q27" s="3" t="s">
        <v>1762</v>
      </c>
      <c r="R27" s="3" t="s">
        <v>1763</v>
      </c>
      <c r="S27" s="3" t="s">
        <v>1764</v>
      </c>
      <c r="T27" s="3" t="s">
        <v>1765</v>
      </c>
      <c r="U27" s="3" t="s">
        <v>1766</v>
      </c>
      <c r="V27" s="3" t="s">
        <v>1767</v>
      </c>
      <c r="W27" s="3" t="s">
        <v>680</v>
      </c>
      <c r="X27" s="3" t="s">
        <v>155</v>
      </c>
      <c r="Y27" s="3" t="s">
        <v>1768</v>
      </c>
      <c r="Z27" s="3" t="s">
        <v>1769</v>
      </c>
      <c r="AA27" s="3" t="s">
        <v>1770</v>
      </c>
      <c r="AB27" s="3" t="s">
        <v>1771</v>
      </c>
      <c r="AC27" s="3" t="s">
        <v>1771</v>
      </c>
      <c r="AD27" s="3" t="s">
        <v>669</v>
      </c>
      <c r="AE27" s="3" t="s">
        <v>728</v>
      </c>
      <c r="AF27" s="3" t="s">
        <v>1772</v>
      </c>
      <c r="AG27" s="3" t="s">
        <v>666</v>
      </c>
      <c r="AH27" s="3" t="s">
        <v>1773</v>
      </c>
      <c r="AI27" s="3" t="s">
        <v>1768</v>
      </c>
      <c r="AJ27" s="3" t="s">
        <v>1774</v>
      </c>
      <c r="AK27" s="3" t="s">
        <v>67</v>
      </c>
      <c r="AL27" s="3" t="s">
        <v>666</v>
      </c>
      <c r="AM27" s="3" t="s">
        <v>666</v>
      </c>
      <c r="AN27" s="3" t="s">
        <v>1775</v>
      </c>
      <c r="AO27" s="3" t="s">
        <v>690</v>
      </c>
      <c r="AP27" s="3" t="s">
        <v>691</v>
      </c>
      <c r="AQ27" s="3" t="s">
        <v>733</v>
      </c>
      <c r="AR27" s="3" t="s">
        <v>734</v>
      </c>
      <c r="AS27" s="3" t="s">
        <v>734</v>
      </c>
      <c r="AT27" s="3" t="s">
        <v>733</v>
      </c>
      <c r="AU27" s="3" t="s">
        <v>1776</v>
      </c>
      <c r="AV27" s="3" t="s">
        <v>1777</v>
      </c>
      <c r="AW27" s="3" t="s">
        <v>1778</v>
      </c>
      <c r="AX27" s="3" t="s">
        <v>1779</v>
      </c>
      <c r="AY27" s="3" t="s">
        <v>1780</v>
      </c>
      <c r="AZ27" s="3" t="s">
        <v>1781</v>
      </c>
      <c r="BA27" s="3" t="s">
        <v>1782</v>
      </c>
      <c r="BB27" s="3" t="s">
        <v>690</v>
      </c>
      <c r="BC27" s="3" t="s">
        <v>691</v>
      </c>
      <c r="BD27" s="3" t="s">
        <v>690</v>
      </c>
      <c r="BE27" s="3" t="s">
        <v>691</v>
      </c>
      <c r="BF27" s="3" t="s">
        <v>1783</v>
      </c>
      <c r="BG27" s="3" t="s">
        <v>691</v>
      </c>
      <c r="BH27" s="3" t="s">
        <v>1784</v>
      </c>
      <c r="BI27" s="3" t="s">
        <v>1785</v>
      </c>
      <c r="BJ27" s="3" t="s">
        <v>1786</v>
      </c>
      <c r="BK27" s="3" t="s">
        <v>1229</v>
      </c>
      <c r="BL27" s="3" t="s">
        <v>1787</v>
      </c>
      <c r="BM27" s="3" t="s">
        <v>1788</v>
      </c>
      <c r="BN27" s="3" t="s">
        <v>1779</v>
      </c>
      <c r="BO27" s="3" t="s">
        <v>799</v>
      </c>
      <c r="BP27" s="3" t="s">
        <v>701</v>
      </c>
      <c r="BQ27" s="3" t="s">
        <v>666</v>
      </c>
      <c r="BR27" s="3" t="s">
        <v>1789</v>
      </c>
      <c r="BS27" s="3" t="s">
        <v>1790</v>
      </c>
      <c r="BT27" s="3" t="s">
        <v>1791</v>
      </c>
      <c r="BU27" s="3" t="s">
        <v>1792</v>
      </c>
      <c r="BV27" s="3" t="s">
        <v>680</v>
      </c>
      <c r="BW27" s="3" t="s">
        <v>1793</v>
      </c>
      <c r="BX27" s="3" t="s">
        <v>1794</v>
      </c>
      <c r="BY27" s="3" t="s">
        <v>1795</v>
      </c>
      <c r="BZ27" s="3" t="s">
        <v>1796</v>
      </c>
      <c r="CA27" s="3" t="s">
        <v>282</v>
      </c>
      <c r="CB27" s="3" t="s">
        <v>1797</v>
      </c>
      <c r="CC27" s="3" t="s">
        <v>23</v>
      </c>
      <c r="CD27"/>
    </row>
    <row r="28" spans="1:82" ht="129.25" customHeight="1">
      <c r="A28" s="3" t="s">
        <v>283</v>
      </c>
      <c r="B28" s="3" t="s">
        <v>1798</v>
      </c>
      <c r="C28" s="3" t="s">
        <v>1799</v>
      </c>
      <c r="D28" s="3" t="s">
        <v>1800</v>
      </c>
      <c r="E28" s="3" t="s">
        <v>714</v>
      </c>
      <c r="F28" s="3" t="s">
        <v>285</v>
      </c>
      <c r="G28" s="3" t="s">
        <v>1027</v>
      </c>
      <c r="H28" s="3" t="s">
        <v>1801</v>
      </c>
      <c r="I28" s="3" t="s">
        <v>654</v>
      </c>
      <c r="J28" s="3" t="s">
        <v>655</v>
      </c>
      <c r="K28" s="3" t="s">
        <v>287</v>
      </c>
      <c r="L28" s="3" t="s">
        <v>656</v>
      </c>
      <c r="M28" s="3" t="s">
        <v>1802</v>
      </c>
      <c r="N28" s="3" t="s">
        <v>286</v>
      </c>
      <c r="O28" s="3" t="s">
        <v>1803</v>
      </c>
      <c r="P28" s="3" t="s">
        <v>1804</v>
      </c>
      <c r="Q28" s="3" t="s">
        <v>1762</v>
      </c>
      <c r="R28" s="3" t="s">
        <v>1805</v>
      </c>
      <c r="S28" s="3" t="s">
        <v>1806</v>
      </c>
      <c r="T28" s="3" t="s">
        <v>1807</v>
      </c>
      <c r="U28" s="3" t="s">
        <v>1808</v>
      </c>
      <c r="V28" s="3" t="s">
        <v>1809</v>
      </c>
      <c r="W28" s="3" t="s">
        <v>680</v>
      </c>
      <c r="X28" s="3" t="s">
        <v>289</v>
      </c>
      <c r="Y28" s="3" t="s">
        <v>1810</v>
      </c>
      <c r="Z28" s="3" t="s">
        <v>1811</v>
      </c>
      <c r="AA28" s="3" t="s">
        <v>1812</v>
      </c>
      <c r="AB28" s="3" t="s">
        <v>1813</v>
      </c>
      <c r="AC28" s="3" t="s">
        <v>1814</v>
      </c>
      <c r="AD28" s="3" t="s">
        <v>1815</v>
      </c>
      <c r="AE28" s="3" t="s">
        <v>728</v>
      </c>
      <c r="AF28" s="3" t="s">
        <v>1816</v>
      </c>
      <c r="AG28" s="3" t="s">
        <v>666</v>
      </c>
      <c r="AH28" s="3" t="s">
        <v>1817</v>
      </c>
      <c r="AI28" s="3" t="s">
        <v>1810</v>
      </c>
      <c r="AJ28" s="3" t="s">
        <v>1818</v>
      </c>
      <c r="AK28" s="3" t="s">
        <v>67</v>
      </c>
      <c r="AL28" s="3" t="s">
        <v>666</v>
      </c>
      <c r="AM28" s="3" t="s">
        <v>666</v>
      </c>
      <c r="AN28" s="3" t="s">
        <v>1819</v>
      </c>
      <c r="AO28" s="3" t="s">
        <v>690</v>
      </c>
      <c r="AP28" s="3" t="s">
        <v>691</v>
      </c>
      <c r="AQ28" s="3" t="s">
        <v>733</v>
      </c>
      <c r="AR28" s="3" t="s">
        <v>734</v>
      </c>
      <c r="AS28" s="3" t="s">
        <v>734</v>
      </c>
      <c r="AT28" s="3" t="s">
        <v>733</v>
      </c>
      <c r="AU28" s="3" t="s">
        <v>1820</v>
      </c>
      <c r="AV28" s="3" t="s">
        <v>1821</v>
      </c>
      <c r="AW28" s="3" t="s">
        <v>1822</v>
      </c>
      <c r="AX28" s="3" t="s">
        <v>1779</v>
      </c>
      <c r="AY28" s="3" t="s">
        <v>687</v>
      </c>
      <c r="AZ28" s="3" t="s">
        <v>1823</v>
      </c>
      <c r="BA28" s="3" t="s">
        <v>1824</v>
      </c>
      <c r="BB28" s="3" t="s">
        <v>690</v>
      </c>
      <c r="BC28" s="3" t="s">
        <v>691</v>
      </c>
      <c r="BD28" s="3" t="s">
        <v>690</v>
      </c>
      <c r="BE28" s="3" t="s">
        <v>691</v>
      </c>
      <c r="BF28" s="3" t="s">
        <v>1543</v>
      </c>
      <c r="BG28" s="3" t="s">
        <v>691</v>
      </c>
      <c r="BH28" s="3" t="s">
        <v>1825</v>
      </c>
      <c r="BI28" s="3" t="s">
        <v>1826</v>
      </c>
      <c r="BJ28" s="3" t="s">
        <v>666</v>
      </c>
      <c r="BK28" s="3" t="s">
        <v>1827</v>
      </c>
      <c r="BL28" s="3" t="s">
        <v>1828</v>
      </c>
      <c r="BM28" s="3" t="s">
        <v>1829</v>
      </c>
      <c r="BN28" s="3" t="s">
        <v>1779</v>
      </c>
      <c r="BO28" s="3" t="s">
        <v>799</v>
      </c>
      <c r="BP28" s="3" t="s">
        <v>701</v>
      </c>
      <c r="BQ28" s="3" t="s">
        <v>666</v>
      </c>
      <c r="BR28" s="3" t="s">
        <v>1830</v>
      </c>
      <c r="BS28" s="3" t="s">
        <v>703</v>
      </c>
      <c r="BT28" s="3" t="s">
        <v>1831</v>
      </c>
      <c r="BU28" s="3" t="s">
        <v>666</v>
      </c>
      <c r="BV28" s="3" t="s">
        <v>680</v>
      </c>
      <c r="BW28" s="3" t="s">
        <v>1832</v>
      </c>
      <c r="BX28" s="3" t="s">
        <v>1833</v>
      </c>
      <c r="BY28" s="3" t="s">
        <v>1834</v>
      </c>
      <c r="BZ28" s="3" t="s">
        <v>1835</v>
      </c>
      <c r="CA28" s="3" t="s">
        <v>292</v>
      </c>
      <c r="CB28" s="3" t="s">
        <v>1836</v>
      </c>
      <c r="CC28" s="3" t="s">
        <v>1837</v>
      </c>
      <c r="CD28"/>
    </row>
    <row r="29" spans="1:82" ht="129.25" customHeight="1">
      <c r="A29" s="3" t="s">
        <v>293</v>
      </c>
      <c r="B29" s="3" t="s">
        <v>1838</v>
      </c>
      <c r="C29" s="3" t="s">
        <v>1839</v>
      </c>
      <c r="D29" s="3" t="s">
        <v>1840</v>
      </c>
      <c r="E29" s="3" t="s">
        <v>714</v>
      </c>
      <c r="F29" s="3" t="s">
        <v>295</v>
      </c>
      <c r="G29" s="3" t="s">
        <v>1366</v>
      </c>
      <c r="H29" s="3" t="s">
        <v>1841</v>
      </c>
      <c r="I29" s="3" t="s">
        <v>654</v>
      </c>
      <c r="J29" s="3" t="s">
        <v>655</v>
      </c>
      <c r="K29" s="3" t="s">
        <v>297</v>
      </c>
      <c r="L29" s="3" t="s">
        <v>656</v>
      </c>
      <c r="M29" s="3" t="s">
        <v>1842</v>
      </c>
      <c r="N29" s="3" t="s">
        <v>296</v>
      </c>
      <c r="O29" s="3" t="s">
        <v>1843</v>
      </c>
      <c r="P29" s="3" t="s">
        <v>1844</v>
      </c>
      <c r="Q29" s="3" t="s">
        <v>861</v>
      </c>
      <c r="R29" s="3" t="s">
        <v>1845</v>
      </c>
      <c r="S29" s="3" t="s">
        <v>863</v>
      </c>
      <c r="T29" s="3" t="s">
        <v>1846</v>
      </c>
      <c r="U29" s="3" t="s">
        <v>1847</v>
      </c>
      <c r="V29" s="3" t="s">
        <v>1848</v>
      </c>
      <c r="W29" s="3" t="s">
        <v>680</v>
      </c>
      <c r="X29" s="3" t="s">
        <v>155</v>
      </c>
      <c r="Y29" s="3" t="s">
        <v>1849</v>
      </c>
      <c r="Z29" s="3" t="s">
        <v>1850</v>
      </c>
      <c r="AA29" s="3" t="s">
        <v>669</v>
      </c>
      <c r="AB29" s="3" t="s">
        <v>669</v>
      </c>
      <c r="AC29" s="3" t="s">
        <v>669</v>
      </c>
      <c r="AD29" s="3" t="s">
        <v>669</v>
      </c>
      <c r="AE29" s="3" t="s">
        <v>1851</v>
      </c>
      <c r="AF29" s="3" t="s">
        <v>1852</v>
      </c>
      <c r="AG29" s="3" t="s">
        <v>666</v>
      </c>
      <c r="AH29" s="3" t="s">
        <v>1853</v>
      </c>
      <c r="AI29" s="3" t="s">
        <v>1854</v>
      </c>
      <c r="AJ29" s="3" t="s">
        <v>1855</v>
      </c>
      <c r="AK29" s="3" t="s">
        <v>55</v>
      </c>
      <c r="AL29" s="3" t="s">
        <v>1856</v>
      </c>
      <c r="AM29" s="3" t="s">
        <v>666</v>
      </c>
      <c r="AN29" s="3" t="s">
        <v>1728</v>
      </c>
      <c r="AO29" s="3" t="s">
        <v>690</v>
      </c>
      <c r="AP29" s="3" t="s">
        <v>691</v>
      </c>
      <c r="AQ29" s="3" t="s">
        <v>733</v>
      </c>
      <c r="AR29" s="3" t="s">
        <v>734</v>
      </c>
      <c r="AS29" s="3" t="s">
        <v>734</v>
      </c>
      <c r="AT29" s="3" t="s">
        <v>733</v>
      </c>
      <c r="AU29" s="3" t="s">
        <v>1776</v>
      </c>
      <c r="AV29" s="3" t="s">
        <v>1857</v>
      </c>
      <c r="AW29" s="3" t="s">
        <v>1858</v>
      </c>
      <c r="AX29" s="3" t="s">
        <v>1859</v>
      </c>
      <c r="AY29" s="3" t="s">
        <v>687</v>
      </c>
      <c r="AZ29" s="3" t="s">
        <v>1860</v>
      </c>
      <c r="BA29" s="3" t="s">
        <v>1861</v>
      </c>
      <c r="BB29" s="3" t="s">
        <v>690</v>
      </c>
      <c r="BC29" s="3" t="s">
        <v>691</v>
      </c>
      <c r="BD29" s="3" t="s">
        <v>690</v>
      </c>
      <c r="BE29" s="3" t="s">
        <v>691</v>
      </c>
      <c r="BF29" s="3" t="s">
        <v>1862</v>
      </c>
      <c r="BG29" s="3" t="s">
        <v>1863</v>
      </c>
      <c r="BH29" s="3" t="s">
        <v>1864</v>
      </c>
      <c r="BI29" s="3" t="s">
        <v>1865</v>
      </c>
      <c r="BJ29" s="3" t="s">
        <v>666</v>
      </c>
      <c r="BK29" s="3" t="s">
        <v>1866</v>
      </c>
      <c r="BL29" s="3" t="s">
        <v>1867</v>
      </c>
      <c r="BM29" s="3" t="s">
        <v>1868</v>
      </c>
      <c r="BN29" s="3" t="s">
        <v>1869</v>
      </c>
      <c r="BO29" s="3" t="s">
        <v>799</v>
      </c>
      <c r="BP29" s="3" t="s">
        <v>701</v>
      </c>
      <c r="BQ29" s="3" t="s">
        <v>666</v>
      </c>
      <c r="BR29" s="3" t="s">
        <v>1870</v>
      </c>
      <c r="BS29" s="3" t="s">
        <v>703</v>
      </c>
      <c r="BT29" s="3" t="s">
        <v>1871</v>
      </c>
      <c r="BU29" s="3" t="s">
        <v>1872</v>
      </c>
      <c r="BV29" s="3" t="s">
        <v>680</v>
      </c>
      <c r="BW29" s="3" t="s">
        <v>705</v>
      </c>
      <c r="BX29" s="3" t="s">
        <v>1873</v>
      </c>
      <c r="BY29" s="3" t="s">
        <v>1874</v>
      </c>
      <c r="BZ29" s="3" t="s">
        <v>1875</v>
      </c>
      <c r="CA29" s="3" t="s">
        <v>1876</v>
      </c>
      <c r="CB29" s="3" t="s">
        <v>1877</v>
      </c>
      <c r="CC29" s="3" t="s">
        <v>1878</v>
      </c>
      <c r="CD29"/>
    </row>
    <row r="30" spans="1:82" ht="116" customHeight="1">
      <c r="A30" s="3" t="s">
        <v>302</v>
      </c>
      <c r="B30" s="3" t="s">
        <v>1879</v>
      </c>
      <c r="C30" s="3" t="s">
        <v>1880</v>
      </c>
      <c r="D30" s="3" t="s">
        <v>1881</v>
      </c>
      <c r="E30" s="3" t="s">
        <v>714</v>
      </c>
      <c r="F30" s="3" t="s">
        <v>303</v>
      </c>
      <c r="G30" s="3" t="s">
        <v>1882</v>
      </c>
      <c r="H30" s="3" t="s">
        <v>1883</v>
      </c>
      <c r="I30" s="3" t="s">
        <v>654</v>
      </c>
      <c r="J30" s="3" t="s">
        <v>655</v>
      </c>
      <c r="K30" s="3" t="s">
        <v>63</v>
      </c>
      <c r="L30" s="3" t="s">
        <v>656</v>
      </c>
      <c r="M30" s="3" t="s">
        <v>1884</v>
      </c>
      <c r="N30" s="3" t="s">
        <v>304</v>
      </c>
      <c r="O30" s="3" t="s">
        <v>1658</v>
      </c>
      <c r="P30" s="3" t="s">
        <v>1885</v>
      </c>
      <c r="Q30" s="3" t="s">
        <v>660</v>
      </c>
      <c r="R30" s="3" t="s">
        <v>720</v>
      </c>
      <c r="S30" s="3" t="s">
        <v>1886</v>
      </c>
      <c r="T30" s="3" t="s">
        <v>1887</v>
      </c>
      <c r="U30" s="3" t="s">
        <v>1888</v>
      </c>
      <c r="V30" s="3" t="s">
        <v>1889</v>
      </c>
      <c r="W30" s="3" t="s">
        <v>1890</v>
      </c>
      <c r="X30" s="3" t="s">
        <v>306</v>
      </c>
      <c r="Y30" s="3" t="s">
        <v>1674</v>
      </c>
      <c r="Z30" s="3" t="s">
        <v>1891</v>
      </c>
      <c r="AA30" s="3" t="s">
        <v>1892</v>
      </c>
      <c r="AB30" s="3" t="s">
        <v>1893</v>
      </c>
      <c r="AC30" s="3" t="s">
        <v>1894</v>
      </c>
      <c r="AD30" s="3" t="s">
        <v>1895</v>
      </c>
      <c r="AE30" s="3">
        <v>1</v>
      </c>
      <c r="AF30" s="3" t="s">
        <v>1896</v>
      </c>
      <c r="AG30" s="3" t="s">
        <v>666</v>
      </c>
      <c r="AH30" s="3" t="s">
        <v>1897</v>
      </c>
      <c r="AI30" s="3" t="s">
        <v>1674</v>
      </c>
      <c r="AJ30" s="3" t="s">
        <v>1898</v>
      </c>
      <c r="AK30" s="3" t="s">
        <v>55</v>
      </c>
      <c r="AL30" s="3" t="s">
        <v>1899</v>
      </c>
      <c r="AM30" s="3" t="s">
        <v>1900</v>
      </c>
      <c r="AN30" s="3" t="s">
        <v>1901</v>
      </c>
      <c r="AO30" s="3" t="s">
        <v>1902</v>
      </c>
      <c r="AP30" s="3" t="s">
        <v>1173</v>
      </c>
      <c r="AQ30" s="3" t="s">
        <v>1903</v>
      </c>
      <c r="AR30" s="3" t="s">
        <v>1904</v>
      </c>
      <c r="AS30" s="3" t="s">
        <v>1905</v>
      </c>
      <c r="AT30" s="3" t="s">
        <v>1906</v>
      </c>
      <c r="AU30" s="3" t="s">
        <v>1907</v>
      </c>
      <c r="AV30" s="3" t="s">
        <v>1908</v>
      </c>
      <c r="AW30" s="3" t="s">
        <v>1909</v>
      </c>
      <c r="AX30" s="3" t="s">
        <v>1910</v>
      </c>
      <c r="AY30" s="3" t="s">
        <v>1911</v>
      </c>
      <c r="AZ30" s="3" t="s">
        <v>1912</v>
      </c>
      <c r="BA30" s="3" t="s">
        <v>1913</v>
      </c>
      <c r="BB30" s="3" t="s">
        <v>690</v>
      </c>
      <c r="BC30" s="3" t="s">
        <v>691</v>
      </c>
      <c r="BD30" s="3" t="s">
        <v>690</v>
      </c>
      <c r="BE30" s="3" t="s">
        <v>691</v>
      </c>
      <c r="BF30" s="3" t="s">
        <v>1914</v>
      </c>
      <c r="BG30" s="3" t="s">
        <v>1915</v>
      </c>
      <c r="BH30" s="3" t="s">
        <v>1916</v>
      </c>
      <c r="BI30" s="3" t="s">
        <v>1917</v>
      </c>
      <c r="BJ30" s="3" t="s">
        <v>1918</v>
      </c>
      <c r="BK30" s="3" t="s">
        <v>1919</v>
      </c>
      <c r="BL30" s="3" t="s">
        <v>1920</v>
      </c>
      <c r="BM30" s="3" t="s">
        <v>1921</v>
      </c>
      <c r="BN30" s="3" t="s">
        <v>1922</v>
      </c>
      <c r="BO30" s="3" t="s">
        <v>1923</v>
      </c>
      <c r="BP30" s="3" t="s">
        <v>1924</v>
      </c>
      <c r="BQ30" s="3" t="s">
        <v>1925</v>
      </c>
      <c r="BR30" s="3" t="s">
        <v>1926</v>
      </c>
      <c r="BS30" s="3" t="s">
        <v>1927</v>
      </c>
      <c r="BT30" s="3" t="s">
        <v>1928</v>
      </c>
      <c r="BU30" s="3" t="s">
        <v>1929</v>
      </c>
      <c r="BV30" s="3" t="s">
        <v>680</v>
      </c>
      <c r="BW30" s="3" t="s">
        <v>705</v>
      </c>
      <c r="BX30" s="3" t="s">
        <v>1930</v>
      </c>
      <c r="BY30" s="3" t="s">
        <v>1931</v>
      </c>
      <c r="BZ30" s="3" t="s">
        <v>1932</v>
      </c>
      <c r="CA30" s="3" t="s">
        <v>1933</v>
      </c>
      <c r="CB30" s="3" t="s">
        <v>1934</v>
      </c>
      <c r="CC30" s="3" t="s">
        <v>12</v>
      </c>
      <c r="CD30"/>
    </row>
    <row r="31" spans="1:82" ht="129.25" customHeight="1">
      <c r="A31" s="3" t="s">
        <v>310</v>
      </c>
      <c r="B31" s="3" t="s">
        <v>1935</v>
      </c>
      <c r="C31" s="3" t="s">
        <v>1936</v>
      </c>
      <c r="D31" s="3" t="s">
        <v>1937</v>
      </c>
      <c r="E31" s="3" t="s">
        <v>714</v>
      </c>
      <c r="F31" s="3" t="s">
        <v>312</v>
      </c>
      <c r="G31" s="3" t="s">
        <v>1938</v>
      </c>
      <c r="H31" s="3" t="s">
        <v>1939</v>
      </c>
      <c r="I31" s="3" t="s">
        <v>654</v>
      </c>
      <c r="J31" s="3" t="s">
        <v>655</v>
      </c>
      <c r="K31" s="3" t="s">
        <v>314</v>
      </c>
      <c r="L31" s="3" t="s">
        <v>656</v>
      </c>
      <c r="M31" s="3" t="s">
        <v>1940</v>
      </c>
      <c r="N31" s="3" t="s">
        <v>313</v>
      </c>
      <c r="O31" s="3" t="s">
        <v>1941</v>
      </c>
      <c r="P31" s="3" t="s">
        <v>1942</v>
      </c>
      <c r="Q31" s="3" t="s">
        <v>1943</v>
      </c>
      <c r="R31" s="3" t="s">
        <v>1944</v>
      </c>
      <c r="S31" s="3" t="s">
        <v>1945</v>
      </c>
      <c r="T31" s="3" t="s">
        <v>1946</v>
      </c>
      <c r="U31" s="3" t="s">
        <v>1947</v>
      </c>
      <c r="V31" s="3" t="s">
        <v>1948</v>
      </c>
      <c r="W31" s="3" t="s">
        <v>680</v>
      </c>
      <c r="X31" s="3" t="s">
        <v>155</v>
      </c>
      <c r="Y31" s="3" t="s">
        <v>1949</v>
      </c>
      <c r="Z31" s="3" t="s">
        <v>1850</v>
      </c>
      <c r="AA31" s="3" t="s">
        <v>1950</v>
      </c>
      <c r="AB31" s="3" t="s">
        <v>1771</v>
      </c>
      <c r="AC31" s="3" t="s">
        <v>1771</v>
      </c>
      <c r="AD31" s="3" t="s">
        <v>669</v>
      </c>
      <c r="AE31" s="3" t="s">
        <v>728</v>
      </c>
      <c r="AF31" s="3" t="s">
        <v>1951</v>
      </c>
      <c r="AG31" s="3" t="s">
        <v>666</v>
      </c>
      <c r="AH31" s="3" t="s">
        <v>1952</v>
      </c>
      <c r="AI31" s="3" t="s">
        <v>1949</v>
      </c>
      <c r="AJ31" s="3" t="s">
        <v>1953</v>
      </c>
      <c r="AK31" s="3" t="s">
        <v>67</v>
      </c>
      <c r="AL31" s="3" t="s">
        <v>666</v>
      </c>
      <c r="AM31" s="3" t="s">
        <v>666</v>
      </c>
      <c r="AN31" s="3" t="s">
        <v>1728</v>
      </c>
      <c r="AO31" s="3" t="s">
        <v>690</v>
      </c>
      <c r="AP31" s="3" t="s">
        <v>691</v>
      </c>
      <c r="AQ31" s="3" t="s">
        <v>733</v>
      </c>
      <c r="AR31" s="3" t="s">
        <v>734</v>
      </c>
      <c r="AS31" s="3" t="s">
        <v>734</v>
      </c>
      <c r="AT31" s="3" t="s">
        <v>733</v>
      </c>
      <c r="AU31" s="3" t="s">
        <v>1776</v>
      </c>
      <c r="AV31" s="3" t="s">
        <v>1954</v>
      </c>
      <c r="AW31" s="3" t="s">
        <v>1955</v>
      </c>
      <c r="AX31" s="3" t="s">
        <v>1956</v>
      </c>
      <c r="AY31" s="3" t="s">
        <v>1957</v>
      </c>
      <c r="AZ31" s="3" t="s">
        <v>1958</v>
      </c>
      <c r="BA31" s="3" t="s">
        <v>1959</v>
      </c>
      <c r="BB31" s="3" t="s">
        <v>690</v>
      </c>
      <c r="BC31" s="3" t="s">
        <v>691</v>
      </c>
      <c r="BD31" s="3" t="s">
        <v>690</v>
      </c>
      <c r="BE31" s="3" t="s">
        <v>691</v>
      </c>
      <c r="BF31" s="3" t="s">
        <v>690</v>
      </c>
      <c r="BG31" s="3" t="s">
        <v>691</v>
      </c>
      <c r="BH31" s="3" t="s">
        <v>1960</v>
      </c>
      <c r="BI31" s="3" t="s">
        <v>1961</v>
      </c>
      <c r="BJ31" s="3" t="s">
        <v>680</v>
      </c>
      <c r="BK31" s="3" t="s">
        <v>1962</v>
      </c>
      <c r="BL31" s="3" t="s">
        <v>1963</v>
      </c>
      <c r="BM31" s="3" t="s">
        <v>1964</v>
      </c>
      <c r="BN31" s="3" t="s">
        <v>1965</v>
      </c>
      <c r="BO31" s="3" t="s">
        <v>799</v>
      </c>
      <c r="BP31" s="3" t="s">
        <v>701</v>
      </c>
      <c r="BQ31" s="3" t="s">
        <v>666</v>
      </c>
      <c r="BR31" s="3" t="s">
        <v>1966</v>
      </c>
      <c r="BS31" s="3" t="s">
        <v>1967</v>
      </c>
      <c r="BT31" s="3" t="s">
        <v>1968</v>
      </c>
      <c r="BU31" s="3" t="s">
        <v>666</v>
      </c>
      <c r="BV31" s="3" t="s">
        <v>680</v>
      </c>
      <c r="BW31" s="3" t="s">
        <v>705</v>
      </c>
      <c r="BX31" s="3" t="s">
        <v>1969</v>
      </c>
      <c r="BY31" s="3" t="s">
        <v>1970</v>
      </c>
      <c r="BZ31" s="3" t="s">
        <v>1971</v>
      </c>
      <c r="CA31" s="3" t="s">
        <v>318</v>
      </c>
      <c r="CB31" s="3" t="s">
        <v>1972</v>
      </c>
      <c r="CC31" s="3" t="s">
        <v>1289</v>
      </c>
      <c r="CD31"/>
    </row>
    <row r="32" spans="1:82" ht="118.75" customHeight="1">
      <c r="A32" s="3" t="s">
        <v>319</v>
      </c>
      <c r="B32" s="3" t="s">
        <v>1973</v>
      </c>
      <c r="C32" s="3" t="s">
        <v>1974</v>
      </c>
      <c r="D32" s="3" t="s">
        <v>1975</v>
      </c>
      <c r="E32" s="3" t="s">
        <v>714</v>
      </c>
      <c r="F32" s="3" t="s">
        <v>321</v>
      </c>
      <c r="G32" s="3" t="s">
        <v>1976</v>
      </c>
      <c r="H32" s="3" t="s">
        <v>1977</v>
      </c>
      <c r="I32" s="3" t="s">
        <v>654</v>
      </c>
      <c r="J32" s="3" t="s">
        <v>655</v>
      </c>
      <c r="K32" s="3" t="s">
        <v>75</v>
      </c>
      <c r="L32" s="3" t="s">
        <v>656</v>
      </c>
      <c r="M32" s="3" t="s">
        <v>1978</v>
      </c>
      <c r="N32" s="3" t="s">
        <v>322</v>
      </c>
      <c r="O32" s="3" t="s">
        <v>1979</v>
      </c>
      <c r="P32" s="3" t="s">
        <v>1980</v>
      </c>
      <c r="Q32" s="3" t="s">
        <v>660</v>
      </c>
      <c r="R32" s="3" t="s">
        <v>1981</v>
      </c>
      <c r="S32" s="3" t="s">
        <v>1493</v>
      </c>
      <c r="T32" s="3" t="s">
        <v>1982</v>
      </c>
      <c r="U32" s="3" t="s">
        <v>1983</v>
      </c>
      <c r="V32" s="3" t="s">
        <v>1984</v>
      </c>
      <c r="W32" s="3" t="s">
        <v>1985</v>
      </c>
      <c r="X32" s="3" t="s">
        <v>65</v>
      </c>
      <c r="Y32" s="3" t="s">
        <v>1986</v>
      </c>
      <c r="Z32" s="3" t="s">
        <v>1987</v>
      </c>
      <c r="AA32" s="3" t="s">
        <v>1493</v>
      </c>
      <c r="AB32" s="3" t="s">
        <v>1493</v>
      </c>
      <c r="AC32" s="3" t="s">
        <v>1493</v>
      </c>
      <c r="AD32" s="3" t="s">
        <v>1493</v>
      </c>
      <c r="AE32" s="3" t="s">
        <v>728</v>
      </c>
      <c r="AF32" s="3" t="s">
        <v>1493</v>
      </c>
      <c r="AG32" s="3" t="s">
        <v>666</v>
      </c>
      <c r="AH32" s="3" t="s">
        <v>1988</v>
      </c>
      <c r="AI32" s="3" t="s">
        <v>1986</v>
      </c>
      <c r="AJ32" s="3" t="s">
        <v>1989</v>
      </c>
      <c r="AK32" s="3" t="s">
        <v>55</v>
      </c>
      <c r="AL32" s="3" t="s">
        <v>1990</v>
      </c>
      <c r="AM32" s="3" t="s">
        <v>666</v>
      </c>
      <c r="AN32" s="3" t="s">
        <v>1991</v>
      </c>
      <c r="AO32" s="3" t="s">
        <v>1992</v>
      </c>
      <c r="AP32" s="3" t="s">
        <v>679</v>
      </c>
      <c r="AQ32" s="3" t="s">
        <v>680</v>
      </c>
      <c r="AR32" s="3" t="s">
        <v>1993</v>
      </c>
      <c r="AS32" s="3" t="s">
        <v>1994</v>
      </c>
      <c r="AT32" s="3" t="s">
        <v>666</v>
      </c>
      <c r="AU32" s="3" t="s">
        <v>1493</v>
      </c>
      <c r="AV32" s="3" t="s">
        <v>1995</v>
      </c>
      <c r="AW32" s="3" t="s">
        <v>690</v>
      </c>
      <c r="AX32" s="3" t="s">
        <v>790</v>
      </c>
      <c r="AY32" s="3" t="s">
        <v>691</v>
      </c>
      <c r="AZ32" s="3" t="s">
        <v>790</v>
      </c>
      <c r="BA32" s="3" t="s">
        <v>790</v>
      </c>
      <c r="BB32" s="3" t="s">
        <v>690</v>
      </c>
      <c r="BC32" s="3" t="s">
        <v>691</v>
      </c>
      <c r="BD32" s="3" t="s">
        <v>1996</v>
      </c>
      <c r="BE32" s="3" t="s">
        <v>691</v>
      </c>
      <c r="BF32" s="3" t="s">
        <v>1997</v>
      </c>
      <c r="BG32" s="3" t="s">
        <v>1997</v>
      </c>
      <c r="BH32" s="3" t="s">
        <v>1998</v>
      </c>
      <c r="BI32" s="3" t="s">
        <v>1999</v>
      </c>
      <c r="BJ32" s="3" t="s">
        <v>1999</v>
      </c>
      <c r="BK32" s="3" t="s">
        <v>1999</v>
      </c>
      <c r="BL32" s="3" t="s">
        <v>1999</v>
      </c>
      <c r="BM32" s="3" t="s">
        <v>1999</v>
      </c>
      <c r="BN32" s="3" t="s">
        <v>1999</v>
      </c>
      <c r="BO32" s="3" t="s">
        <v>799</v>
      </c>
      <c r="BP32" s="3" t="s">
        <v>701</v>
      </c>
      <c r="BQ32" s="3" t="s">
        <v>666</v>
      </c>
      <c r="BR32" s="3" t="s">
        <v>2000</v>
      </c>
      <c r="BS32" s="3" t="s">
        <v>2001</v>
      </c>
      <c r="BT32" s="3" t="s">
        <v>2002</v>
      </c>
      <c r="BU32" s="3" t="s">
        <v>666</v>
      </c>
      <c r="BV32" s="3" t="s">
        <v>680</v>
      </c>
      <c r="BW32" s="3" t="s">
        <v>1832</v>
      </c>
      <c r="BX32" s="3" t="s">
        <v>2003</v>
      </c>
      <c r="BY32" s="3" t="s">
        <v>2004</v>
      </c>
      <c r="BZ32" s="3" t="s">
        <v>2005</v>
      </c>
      <c r="CA32" s="3" t="s">
        <v>325</v>
      </c>
      <c r="CB32" s="3" t="s">
        <v>2006</v>
      </c>
      <c r="CC32" s="3" t="s">
        <v>1239</v>
      </c>
      <c r="CD32"/>
    </row>
    <row r="33" spans="1:82" ht="113.25" customHeight="1">
      <c r="A33" s="3" t="s">
        <v>326</v>
      </c>
      <c r="B33" s="3" t="s">
        <v>2007</v>
      </c>
      <c r="C33" s="3" t="s">
        <v>2008</v>
      </c>
      <c r="D33" s="3" t="s">
        <v>2009</v>
      </c>
      <c r="E33" s="3" t="s">
        <v>714</v>
      </c>
      <c r="F33" s="3" t="s">
        <v>328</v>
      </c>
      <c r="G33" s="3" t="s">
        <v>2010</v>
      </c>
      <c r="H33" s="3" t="s">
        <v>2011</v>
      </c>
      <c r="I33" s="3" t="s">
        <v>654</v>
      </c>
      <c r="J33" s="3" t="s">
        <v>655</v>
      </c>
      <c r="K33" s="3" t="s">
        <v>93</v>
      </c>
      <c r="L33" s="3" t="s">
        <v>2012</v>
      </c>
      <c r="M33" s="3" t="s">
        <v>2013</v>
      </c>
      <c r="N33" s="3" t="s">
        <v>329</v>
      </c>
      <c r="O33" s="3" t="s">
        <v>2014</v>
      </c>
      <c r="P33" s="3" t="s">
        <v>2015</v>
      </c>
      <c r="Q33" s="3" t="s">
        <v>861</v>
      </c>
      <c r="R33" s="3" t="s">
        <v>2016</v>
      </c>
      <c r="S33" s="3" t="s">
        <v>863</v>
      </c>
      <c r="T33" s="3" t="s">
        <v>2017</v>
      </c>
      <c r="U33" s="3" t="s">
        <v>669</v>
      </c>
      <c r="V33" s="3" t="s">
        <v>2018</v>
      </c>
      <c r="W33" s="3" t="s">
        <v>867</v>
      </c>
      <c r="X33" s="3" t="s">
        <v>137</v>
      </c>
      <c r="Y33" s="3" t="s">
        <v>2019</v>
      </c>
      <c r="Z33" s="3" t="s">
        <v>2020</v>
      </c>
      <c r="AA33" s="3" t="s">
        <v>1493</v>
      </c>
      <c r="AB33" s="3" t="s">
        <v>1493</v>
      </c>
      <c r="AC33" s="3" t="s">
        <v>1493</v>
      </c>
      <c r="AD33" s="3" t="s">
        <v>1493</v>
      </c>
      <c r="AE33" s="3" t="s">
        <v>1493</v>
      </c>
      <c r="AF33" s="3" t="s">
        <v>2021</v>
      </c>
      <c r="AG33" s="3" t="s">
        <v>666</v>
      </c>
      <c r="AH33" s="3" t="s">
        <v>2022</v>
      </c>
      <c r="AI33" s="3" t="s">
        <v>2023</v>
      </c>
      <c r="AJ33" s="3" t="s">
        <v>728</v>
      </c>
      <c r="AK33" s="3" t="s">
        <v>67</v>
      </c>
      <c r="AL33" s="3" t="s">
        <v>666</v>
      </c>
      <c r="AM33" s="3" t="s">
        <v>666</v>
      </c>
      <c r="AN33" s="3" t="s">
        <v>1493</v>
      </c>
      <c r="AO33" s="3" t="s">
        <v>2024</v>
      </c>
      <c r="AP33" s="3" t="s">
        <v>691</v>
      </c>
      <c r="AQ33" s="3" t="s">
        <v>734</v>
      </c>
      <c r="AR33" s="3" t="s">
        <v>734</v>
      </c>
      <c r="AS33" s="3" t="s">
        <v>734</v>
      </c>
      <c r="AT33" s="3" t="s">
        <v>734</v>
      </c>
      <c r="AU33" s="3" t="s">
        <v>734</v>
      </c>
      <c r="AV33" s="3" t="s">
        <v>2025</v>
      </c>
      <c r="AW33" s="3" t="s">
        <v>2026</v>
      </c>
      <c r="AX33" s="3" t="s">
        <v>1493</v>
      </c>
      <c r="AY33" s="3" t="s">
        <v>687</v>
      </c>
      <c r="AZ33" s="3" t="s">
        <v>666</v>
      </c>
      <c r="BA33" s="3" t="s">
        <v>2027</v>
      </c>
      <c r="BB33" s="3" t="s">
        <v>2028</v>
      </c>
      <c r="BC33" s="3" t="s">
        <v>2028</v>
      </c>
      <c r="BD33" s="3" t="s">
        <v>2029</v>
      </c>
      <c r="BE33" s="3" t="s">
        <v>2029</v>
      </c>
      <c r="BF33" s="3" t="s">
        <v>1997</v>
      </c>
      <c r="BG33" s="3" t="s">
        <v>1997</v>
      </c>
      <c r="BH33" s="3" t="s">
        <v>2030</v>
      </c>
      <c r="BI33" s="3" t="s">
        <v>2031</v>
      </c>
      <c r="BJ33" s="3" t="s">
        <v>666</v>
      </c>
      <c r="BK33" s="3" t="s">
        <v>1493</v>
      </c>
      <c r="BL33" s="3" t="s">
        <v>891</v>
      </c>
      <c r="BM33" s="3" t="s">
        <v>2032</v>
      </c>
      <c r="BN33" s="3" t="s">
        <v>1493</v>
      </c>
      <c r="BO33" s="3" t="s">
        <v>2033</v>
      </c>
      <c r="BP33" s="3" t="s">
        <v>132</v>
      </c>
      <c r="BQ33" s="3" t="s">
        <v>666</v>
      </c>
      <c r="BR33" s="3" t="s">
        <v>2034</v>
      </c>
      <c r="BS33" s="3" t="s">
        <v>703</v>
      </c>
      <c r="BT33" s="3" t="s">
        <v>2035</v>
      </c>
      <c r="BU33" s="3" t="s">
        <v>2036</v>
      </c>
      <c r="BV33" s="3" t="s">
        <v>1493</v>
      </c>
      <c r="BW33" s="3" t="s">
        <v>705</v>
      </c>
      <c r="BX33" s="3" t="s">
        <v>2003</v>
      </c>
      <c r="BY33" s="3" t="s">
        <v>2037</v>
      </c>
      <c r="BZ33" s="3" t="s">
        <v>2038</v>
      </c>
      <c r="CA33" s="3" t="s">
        <v>332</v>
      </c>
      <c r="CB33" s="3" t="s">
        <v>2039</v>
      </c>
      <c r="CC33" s="3" t="s">
        <v>898</v>
      </c>
      <c r="CD33"/>
    </row>
    <row r="34" spans="1:82" ht="129.25" customHeight="1">
      <c r="A34" s="3" t="s">
        <v>333</v>
      </c>
      <c r="B34" s="3" t="s">
        <v>2040</v>
      </c>
      <c r="C34" s="3" t="s">
        <v>2041</v>
      </c>
      <c r="D34" s="3" t="s">
        <v>2042</v>
      </c>
      <c r="E34" s="3" t="s">
        <v>714</v>
      </c>
      <c r="F34" s="3" t="s">
        <v>335</v>
      </c>
      <c r="G34" s="3" t="s">
        <v>2043</v>
      </c>
      <c r="H34" s="3" t="s">
        <v>2044</v>
      </c>
      <c r="I34" s="3" t="s">
        <v>654</v>
      </c>
      <c r="J34" s="3" t="s">
        <v>655</v>
      </c>
      <c r="K34" s="3" t="s">
        <v>337</v>
      </c>
      <c r="L34" s="3" t="s">
        <v>656</v>
      </c>
      <c r="M34" s="3" t="s">
        <v>2045</v>
      </c>
      <c r="N34" s="3" t="s">
        <v>336</v>
      </c>
      <c r="O34" s="3" t="s">
        <v>2046</v>
      </c>
      <c r="P34" s="3" t="s">
        <v>2047</v>
      </c>
      <c r="Q34" s="3" t="s">
        <v>660</v>
      </c>
      <c r="R34" s="3" t="s">
        <v>720</v>
      </c>
      <c r="S34" s="3" t="s">
        <v>1493</v>
      </c>
      <c r="T34" s="3" t="s">
        <v>2048</v>
      </c>
      <c r="U34" s="3" t="s">
        <v>669</v>
      </c>
      <c r="V34" s="3" t="s">
        <v>2049</v>
      </c>
      <c r="W34" s="3" t="s">
        <v>867</v>
      </c>
      <c r="X34" s="3" t="s">
        <v>65</v>
      </c>
      <c r="Y34" s="3" t="s">
        <v>2050</v>
      </c>
      <c r="Z34" s="3" t="s">
        <v>2051</v>
      </c>
      <c r="AA34" s="3" t="s">
        <v>1493</v>
      </c>
      <c r="AB34" s="3" t="s">
        <v>1493</v>
      </c>
      <c r="AC34" s="3" t="s">
        <v>1493</v>
      </c>
      <c r="AD34" s="3" t="s">
        <v>1493</v>
      </c>
      <c r="AE34" s="3" t="s">
        <v>728</v>
      </c>
      <c r="AF34" s="3" t="s">
        <v>1493</v>
      </c>
      <c r="AG34" s="3" t="s">
        <v>666</v>
      </c>
      <c r="AH34" s="3" t="s">
        <v>2052</v>
      </c>
      <c r="AI34" s="3" t="s">
        <v>2050</v>
      </c>
      <c r="AJ34" s="3" t="s">
        <v>2053</v>
      </c>
      <c r="AK34" s="3" t="s">
        <v>67</v>
      </c>
      <c r="AL34" s="3" t="s">
        <v>666</v>
      </c>
      <c r="AM34" s="3" t="s">
        <v>666</v>
      </c>
      <c r="AN34" s="3" t="s">
        <v>1493</v>
      </c>
      <c r="AO34" s="3" t="s">
        <v>734</v>
      </c>
      <c r="AP34" s="3" t="s">
        <v>734</v>
      </c>
      <c r="AQ34" s="3" t="s">
        <v>734</v>
      </c>
      <c r="AR34" s="3" t="s">
        <v>734</v>
      </c>
      <c r="AS34" s="3" t="s">
        <v>734</v>
      </c>
      <c r="AT34" s="3" t="s">
        <v>734</v>
      </c>
      <c r="AU34" s="3" t="s">
        <v>734</v>
      </c>
      <c r="AV34" s="3" t="s">
        <v>2054</v>
      </c>
      <c r="AW34" s="3" t="s">
        <v>2055</v>
      </c>
      <c r="AX34" s="3" t="s">
        <v>2056</v>
      </c>
      <c r="AY34" s="3" t="s">
        <v>687</v>
      </c>
      <c r="AZ34" s="3" t="s">
        <v>2057</v>
      </c>
      <c r="BA34" s="3" t="s">
        <v>2058</v>
      </c>
      <c r="BB34" s="3" t="s">
        <v>2028</v>
      </c>
      <c r="BC34" s="3" t="s">
        <v>2028</v>
      </c>
      <c r="BD34" s="3" t="s">
        <v>2029</v>
      </c>
      <c r="BE34" s="3" t="s">
        <v>2029</v>
      </c>
      <c r="BF34" s="3" t="s">
        <v>1997</v>
      </c>
      <c r="BG34" s="3" t="s">
        <v>1997</v>
      </c>
      <c r="BH34" s="3" t="s">
        <v>2059</v>
      </c>
      <c r="BI34" s="3" t="s">
        <v>2060</v>
      </c>
      <c r="BJ34" s="3" t="s">
        <v>666</v>
      </c>
      <c r="BK34" s="3" t="s">
        <v>1493</v>
      </c>
      <c r="BL34" s="3" t="s">
        <v>2061</v>
      </c>
      <c r="BM34" s="3" t="s">
        <v>2062</v>
      </c>
      <c r="BN34" s="3" t="s">
        <v>1493</v>
      </c>
      <c r="BO34" s="3" t="s">
        <v>2063</v>
      </c>
      <c r="BP34" s="3" t="s">
        <v>701</v>
      </c>
      <c r="BQ34" s="3" t="s">
        <v>666</v>
      </c>
      <c r="BR34" s="3" t="s">
        <v>2034</v>
      </c>
      <c r="BS34" s="3" t="s">
        <v>703</v>
      </c>
      <c r="BT34" s="3" t="s">
        <v>2064</v>
      </c>
      <c r="BU34" s="3" t="s">
        <v>666</v>
      </c>
      <c r="BV34" s="3" t="s">
        <v>1493</v>
      </c>
      <c r="BW34" s="3" t="s">
        <v>705</v>
      </c>
      <c r="BX34" s="3" t="s">
        <v>2003</v>
      </c>
      <c r="BY34" s="3" t="s">
        <v>2065</v>
      </c>
      <c r="BZ34" s="3" t="s">
        <v>2038</v>
      </c>
      <c r="CA34" s="3" t="s">
        <v>340</v>
      </c>
      <c r="CB34" s="3" t="s">
        <v>2039</v>
      </c>
      <c r="CC34" s="3" t="s">
        <v>20</v>
      </c>
      <c r="CD34"/>
    </row>
    <row r="35" spans="1:82" ht="144" customHeight="1">
      <c r="A35" s="3" t="s">
        <v>341</v>
      </c>
      <c r="B35" s="3" t="s">
        <v>2066</v>
      </c>
      <c r="C35" s="3" t="s">
        <v>2067</v>
      </c>
      <c r="D35" s="3" t="s">
        <v>2068</v>
      </c>
      <c r="E35" s="3" t="s">
        <v>714</v>
      </c>
      <c r="F35" s="3" t="s">
        <v>343</v>
      </c>
      <c r="G35" s="3" t="s">
        <v>2069</v>
      </c>
      <c r="H35" s="3" t="s">
        <v>2070</v>
      </c>
      <c r="I35" s="3" t="s">
        <v>654</v>
      </c>
      <c r="J35" s="3" t="s">
        <v>655</v>
      </c>
      <c r="K35" s="3" t="s">
        <v>84</v>
      </c>
      <c r="L35" s="3" t="s">
        <v>656</v>
      </c>
      <c r="M35" s="3" t="s">
        <v>2071</v>
      </c>
      <c r="N35" s="3" t="s">
        <v>344</v>
      </c>
      <c r="O35" s="3" t="s">
        <v>2072</v>
      </c>
      <c r="P35" s="3" t="s">
        <v>2073</v>
      </c>
      <c r="Q35" s="3" t="s">
        <v>660</v>
      </c>
      <c r="R35" s="3" t="s">
        <v>2074</v>
      </c>
      <c r="S35" s="3" t="s">
        <v>2075</v>
      </c>
      <c r="T35" s="3" t="s">
        <v>2076</v>
      </c>
      <c r="U35" s="3" t="s">
        <v>2077</v>
      </c>
      <c r="V35" s="3" t="s">
        <v>2078</v>
      </c>
      <c r="W35" s="3" t="s">
        <v>867</v>
      </c>
      <c r="X35" s="3" t="s">
        <v>346</v>
      </c>
      <c r="Y35" s="3" t="s">
        <v>2079</v>
      </c>
      <c r="Z35" s="3" t="s">
        <v>2080</v>
      </c>
      <c r="AA35" s="3" t="s">
        <v>1493</v>
      </c>
      <c r="AB35" s="3" t="s">
        <v>1493</v>
      </c>
      <c r="AC35" s="3" t="s">
        <v>1493</v>
      </c>
      <c r="AD35" s="3" t="s">
        <v>1493</v>
      </c>
      <c r="AE35" s="3" t="s">
        <v>728</v>
      </c>
      <c r="AF35" s="3" t="s">
        <v>1493</v>
      </c>
      <c r="AG35" s="3" t="s">
        <v>666</v>
      </c>
      <c r="AH35" s="3" t="s">
        <v>2081</v>
      </c>
      <c r="AI35" s="3" t="s">
        <v>2082</v>
      </c>
      <c r="AJ35" s="3" t="s">
        <v>2083</v>
      </c>
      <c r="AK35" s="3" t="s">
        <v>55</v>
      </c>
      <c r="AL35" s="3" t="s">
        <v>2084</v>
      </c>
      <c r="AM35" s="3" t="s">
        <v>666</v>
      </c>
      <c r="AN35" s="3" t="s">
        <v>1493</v>
      </c>
      <c r="AO35" s="3" t="s">
        <v>734</v>
      </c>
      <c r="AP35" s="3" t="s">
        <v>734</v>
      </c>
      <c r="AQ35" s="3" t="s">
        <v>734</v>
      </c>
      <c r="AR35" s="3" t="s">
        <v>734</v>
      </c>
      <c r="AS35" s="3" t="s">
        <v>734</v>
      </c>
      <c r="AT35" s="3" t="s">
        <v>734</v>
      </c>
      <c r="AU35" s="3" t="s">
        <v>734</v>
      </c>
      <c r="AV35" s="3" t="s">
        <v>2085</v>
      </c>
      <c r="AW35" s="3" t="s">
        <v>2086</v>
      </c>
      <c r="AX35" s="3" t="s">
        <v>2087</v>
      </c>
      <c r="AY35" s="3" t="s">
        <v>2088</v>
      </c>
      <c r="AZ35" s="3" t="s">
        <v>2089</v>
      </c>
      <c r="BA35" s="3" t="s">
        <v>2090</v>
      </c>
      <c r="BB35" s="3" t="s">
        <v>2028</v>
      </c>
      <c r="BC35" s="3" t="s">
        <v>2028</v>
      </c>
      <c r="BD35" s="3" t="s">
        <v>2029</v>
      </c>
      <c r="BE35" s="3" t="s">
        <v>2029</v>
      </c>
      <c r="BF35" s="3" t="s">
        <v>1997</v>
      </c>
      <c r="BG35" s="3" t="s">
        <v>1997</v>
      </c>
      <c r="BH35" s="3" t="s">
        <v>1998</v>
      </c>
      <c r="BI35" s="3" t="s">
        <v>1999</v>
      </c>
      <c r="BJ35" s="3" t="s">
        <v>1999</v>
      </c>
      <c r="BK35" s="3" t="s">
        <v>1999</v>
      </c>
      <c r="BL35" s="3" t="s">
        <v>1999</v>
      </c>
      <c r="BM35" s="3" t="s">
        <v>2091</v>
      </c>
      <c r="BN35" s="3" t="s">
        <v>1999</v>
      </c>
      <c r="BO35" s="3" t="s">
        <v>799</v>
      </c>
      <c r="BP35" s="3" t="s">
        <v>701</v>
      </c>
      <c r="BQ35" s="3" t="s">
        <v>666</v>
      </c>
      <c r="BR35" s="3" t="s">
        <v>2034</v>
      </c>
      <c r="BS35" s="3" t="s">
        <v>2092</v>
      </c>
      <c r="BT35" s="3" t="s">
        <v>2093</v>
      </c>
      <c r="BU35" s="3" t="s">
        <v>666</v>
      </c>
      <c r="BV35" s="3" t="s">
        <v>1493</v>
      </c>
      <c r="BW35" s="3" t="s">
        <v>1832</v>
      </c>
      <c r="BX35" s="3" t="s">
        <v>2003</v>
      </c>
      <c r="BY35" s="3" t="s">
        <v>2094</v>
      </c>
      <c r="BZ35" s="3" t="s">
        <v>2038</v>
      </c>
      <c r="CA35" s="3" t="s">
        <v>2095</v>
      </c>
      <c r="CB35" s="3" t="s">
        <v>2039</v>
      </c>
      <c r="CC35" s="3" t="s">
        <v>1239</v>
      </c>
      <c r="CD35"/>
    </row>
    <row r="36" spans="1:82" ht="153.25" customHeight="1">
      <c r="A36" s="3" t="s">
        <v>350</v>
      </c>
      <c r="B36" s="3" t="s">
        <v>2096</v>
      </c>
      <c r="C36" s="3" t="s">
        <v>2097</v>
      </c>
      <c r="D36" s="3" t="s">
        <v>2098</v>
      </c>
      <c r="E36" s="3" t="s">
        <v>714</v>
      </c>
      <c r="F36" s="3" t="s">
        <v>352</v>
      </c>
      <c r="G36" s="3" t="s">
        <v>2099</v>
      </c>
      <c r="H36" s="3" t="s">
        <v>2100</v>
      </c>
      <c r="I36" s="3" t="s">
        <v>654</v>
      </c>
      <c r="J36" s="3" t="s">
        <v>655</v>
      </c>
      <c r="K36" s="3" t="s">
        <v>93</v>
      </c>
      <c r="L36" s="3" t="s">
        <v>656</v>
      </c>
      <c r="M36" s="3" t="s">
        <v>2101</v>
      </c>
      <c r="N36" s="3" t="s">
        <v>353</v>
      </c>
      <c r="O36" s="3" t="s">
        <v>2102</v>
      </c>
      <c r="P36" s="3" t="s">
        <v>2103</v>
      </c>
      <c r="Q36" s="3" t="s">
        <v>861</v>
      </c>
      <c r="R36" s="3" t="s">
        <v>2104</v>
      </c>
      <c r="S36" s="3" t="s">
        <v>863</v>
      </c>
      <c r="T36" s="3" t="s">
        <v>2105</v>
      </c>
      <c r="U36" s="3" t="s">
        <v>2106</v>
      </c>
      <c r="V36" s="3" t="s">
        <v>2018</v>
      </c>
      <c r="W36" s="3" t="s">
        <v>867</v>
      </c>
      <c r="X36" s="3" t="s">
        <v>355</v>
      </c>
      <c r="Y36" s="3" t="s">
        <v>2107</v>
      </c>
      <c r="Z36" s="3" t="s">
        <v>2108</v>
      </c>
      <c r="AA36" s="3" t="s">
        <v>2109</v>
      </c>
      <c r="AB36" s="3" t="s">
        <v>2110</v>
      </c>
      <c r="AC36" s="3" t="s">
        <v>2110</v>
      </c>
      <c r="AD36" s="3" t="s">
        <v>2110</v>
      </c>
      <c r="AE36" s="3">
        <v>1</v>
      </c>
      <c r="AF36" s="3" t="s">
        <v>2111</v>
      </c>
      <c r="AG36" s="3" t="s">
        <v>666</v>
      </c>
      <c r="AH36" s="3" t="s">
        <v>2112</v>
      </c>
      <c r="AI36" s="3" t="s">
        <v>2107</v>
      </c>
      <c r="AJ36" s="3" t="s">
        <v>2113</v>
      </c>
      <c r="AK36" s="3" t="s">
        <v>55</v>
      </c>
      <c r="AL36" s="3" t="s">
        <v>666</v>
      </c>
      <c r="AM36" s="3" t="s">
        <v>666</v>
      </c>
      <c r="AN36" s="3" t="s">
        <v>2114</v>
      </c>
      <c r="AO36" s="3" t="s">
        <v>2115</v>
      </c>
      <c r="AP36" s="3" t="s">
        <v>2116</v>
      </c>
      <c r="AQ36" s="3" t="s">
        <v>2117</v>
      </c>
      <c r="AR36" s="3" t="s">
        <v>2118</v>
      </c>
      <c r="AS36" s="3" t="s">
        <v>2119</v>
      </c>
      <c r="AT36" s="3" t="s">
        <v>2120</v>
      </c>
      <c r="AU36" s="3" t="s">
        <v>734</v>
      </c>
      <c r="AV36" s="3" t="s">
        <v>2121</v>
      </c>
      <c r="AW36" s="3" t="s">
        <v>2122</v>
      </c>
      <c r="AX36" s="3" t="s">
        <v>2123</v>
      </c>
      <c r="AY36" s="3" t="s">
        <v>687</v>
      </c>
      <c r="AZ36" s="3" t="s">
        <v>2124</v>
      </c>
      <c r="BA36" s="3" t="s">
        <v>2125</v>
      </c>
      <c r="BB36" s="3" t="s">
        <v>2028</v>
      </c>
      <c r="BC36" s="3" t="s">
        <v>2028</v>
      </c>
      <c r="BD36" s="3" t="s">
        <v>2029</v>
      </c>
      <c r="BE36" s="3" t="s">
        <v>2029</v>
      </c>
      <c r="BF36" s="3" t="s">
        <v>1997</v>
      </c>
      <c r="BG36" s="3" t="s">
        <v>1997</v>
      </c>
      <c r="BH36" s="3" t="s">
        <v>2126</v>
      </c>
      <c r="BI36" s="3" t="s">
        <v>2127</v>
      </c>
      <c r="BJ36" s="3" t="s">
        <v>666</v>
      </c>
      <c r="BK36" s="3" t="s">
        <v>1493</v>
      </c>
      <c r="BL36" s="3" t="s">
        <v>2128</v>
      </c>
      <c r="BM36" s="3" t="s">
        <v>2129</v>
      </c>
      <c r="BN36" s="3" t="s">
        <v>1493</v>
      </c>
      <c r="BO36" s="3" t="s">
        <v>799</v>
      </c>
      <c r="BP36" s="3" t="s">
        <v>701</v>
      </c>
      <c r="BQ36" s="3" t="s">
        <v>666</v>
      </c>
      <c r="BR36" s="3" t="s">
        <v>2034</v>
      </c>
      <c r="BS36" s="3" t="s">
        <v>2130</v>
      </c>
      <c r="BT36" s="3" t="s">
        <v>2131</v>
      </c>
      <c r="BU36" s="3" t="s">
        <v>2132</v>
      </c>
      <c r="BV36" s="3" t="s">
        <v>1493</v>
      </c>
      <c r="BW36" s="3" t="s">
        <v>2133</v>
      </c>
      <c r="BX36" s="3" t="s">
        <v>2003</v>
      </c>
      <c r="BY36" s="3" t="s">
        <v>2134</v>
      </c>
      <c r="BZ36" s="3" t="s">
        <v>2038</v>
      </c>
      <c r="CA36" s="3" t="s">
        <v>358</v>
      </c>
      <c r="CB36" s="3" t="s">
        <v>2135</v>
      </c>
      <c r="CC36" s="3" t="s">
        <v>2136</v>
      </c>
      <c r="CD36"/>
    </row>
    <row r="37" spans="1:82" ht="124" customHeight="1">
      <c r="A37" s="3" t="s">
        <v>359</v>
      </c>
      <c r="B37" s="3" t="s">
        <v>2137</v>
      </c>
      <c r="C37" s="3" t="s">
        <v>2138</v>
      </c>
      <c r="D37" s="3" t="s">
        <v>2139</v>
      </c>
      <c r="E37" s="3" t="s">
        <v>2140</v>
      </c>
      <c r="F37" s="3" t="s">
        <v>361</v>
      </c>
      <c r="G37" s="3" t="s">
        <v>2141</v>
      </c>
      <c r="H37" s="3" t="s">
        <v>2142</v>
      </c>
      <c r="I37" s="3" t="s">
        <v>654</v>
      </c>
      <c r="J37" s="3" t="s">
        <v>655</v>
      </c>
      <c r="K37" s="3" t="s">
        <v>363</v>
      </c>
      <c r="L37" s="3" t="s">
        <v>2143</v>
      </c>
      <c r="M37" s="3" t="s">
        <v>2144</v>
      </c>
      <c r="N37" s="3" t="s">
        <v>362</v>
      </c>
      <c r="O37" s="3" t="s">
        <v>2145</v>
      </c>
      <c r="P37" s="3" t="s">
        <v>2146</v>
      </c>
      <c r="Q37" s="3" t="s">
        <v>2147</v>
      </c>
      <c r="R37" s="3" t="s">
        <v>954</v>
      </c>
      <c r="S37" s="3" t="s">
        <v>2148</v>
      </c>
      <c r="T37" s="3" t="s">
        <v>2149</v>
      </c>
      <c r="U37" s="3" t="s">
        <v>2150</v>
      </c>
      <c r="V37" s="3" t="s">
        <v>2151</v>
      </c>
      <c r="W37" s="3" t="s">
        <v>867</v>
      </c>
      <c r="X37" s="3" t="s">
        <v>365</v>
      </c>
      <c r="Y37" s="3" t="s">
        <v>1674</v>
      </c>
      <c r="Z37" s="3" t="s">
        <v>2152</v>
      </c>
      <c r="AA37" s="3" t="s">
        <v>1493</v>
      </c>
      <c r="AB37" s="3" t="s">
        <v>1493</v>
      </c>
      <c r="AC37" s="3" t="s">
        <v>1493</v>
      </c>
      <c r="AD37" s="3" t="s">
        <v>1493</v>
      </c>
      <c r="AE37" s="3">
        <v>1</v>
      </c>
      <c r="AF37" s="3" t="s">
        <v>1493</v>
      </c>
      <c r="AG37" s="3" t="s">
        <v>2153</v>
      </c>
      <c r="AH37" s="3" t="s">
        <v>2154</v>
      </c>
      <c r="AI37" s="3" t="s">
        <v>2155</v>
      </c>
      <c r="AJ37" s="3" t="s">
        <v>2155</v>
      </c>
      <c r="AK37" s="3" t="s">
        <v>254</v>
      </c>
      <c r="AL37" s="3" t="s">
        <v>1493</v>
      </c>
      <c r="AM37" s="3" t="s">
        <v>1493</v>
      </c>
      <c r="AN37" s="3" t="s">
        <v>2156</v>
      </c>
      <c r="AO37" s="3" t="s">
        <v>2157</v>
      </c>
      <c r="AP37" s="3" t="s">
        <v>691</v>
      </c>
      <c r="AQ37" s="3" t="s">
        <v>1493</v>
      </c>
      <c r="AR37" s="3" t="s">
        <v>2158</v>
      </c>
      <c r="AS37" s="3" t="s">
        <v>2159</v>
      </c>
      <c r="AT37" s="3" t="s">
        <v>2160</v>
      </c>
      <c r="AU37" s="3" t="s">
        <v>1493</v>
      </c>
      <c r="AV37" s="3" t="s">
        <v>1493</v>
      </c>
      <c r="AW37" s="3" t="s">
        <v>790</v>
      </c>
      <c r="AX37" s="3" t="s">
        <v>790</v>
      </c>
      <c r="AY37" s="3" t="s">
        <v>790</v>
      </c>
      <c r="AZ37" s="3" t="s">
        <v>790</v>
      </c>
      <c r="BA37" s="3" t="s">
        <v>790</v>
      </c>
      <c r="BB37" s="3" t="s">
        <v>2028</v>
      </c>
      <c r="BC37" s="3" t="s">
        <v>2028</v>
      </c>
      <c r="BD37" s="3" t="s">
        <v>2029</v>
      </c>
      <c r="BE37" s="3" t="s">
        <v>2029</v>
      </c>
      <c r="BF37" s="3" t="s">
        <v>2161</v>
      </c>
      <c r="BG37" s="3" t="s">
        <v>2162</v>
      </c>
      <c r="BH37" s="3" t="s">
        <v>2163</v>
      </c>
      <c r="BI37" s="3" t="s">
        <v>2164</v>
      </c>
      <c r="BJ37" s="3" t="s">
        <v>1493</v>
      </c>
      <c r="BK37" s="3" t="s">
        <v>2165</v>
      </c>
      <c r="BL37" s="3" t="s">
        <v>2166</v>
      </c>
      <c r="BM37" s="3" t="s">
        <v>1493</v>
      </c>
      <c r="BN37" s="3" t="s">
        <v>2167</v>
      </c>
      <c r="BO37" s="3" t="s">
        <v>799</v>
      </c>
      <c r="BP37" s="3" t="s">
        <v>701</v>
      </c>
      <c r="BQ37" s="3" t="s">
        <v>2168</v>
      </c>
      <c r="BR37" s="3" t="s">
        <v>2034</v>
      </c>
      <c r="BS37" s="3" t="s">
        <v>2169</v>
      </c>
      <c r="BT37" s="3" t="s">
        <v>2170</v>
      </c>
      <c r="BU37" s="3" t="s">
        <v>2171</v>
      </c>
      <c r="BV37" s="3" t="s">
        <v>1493</v>
      </c>
      <c r="BW37" s="3" t="s">
        <v>705</v>
      </c>
      <c r="BX37" s="3" t="s">
        <v>2003</v>
      </c>
      <c r="BY37" s="3" t="s">
        <v>2172</v>
      </c>
      <c r="BZ37" s="3" t="s">
        <v>2038</v>
      </c>
      <c r="CA37" s="3" t="s">
        <v>1493</v>
      </c>
      <c r="CB37" s="3" t="s">
        <v>2173</v>
      </c>
      <c r="CC37" s="3" t="s">
        <v>12</v>
      </c>
      <c r="CD37"/>
    </row>
    <row r="38" spans="1:82" ht="128" customHeight="1">
      <c r="A38" s="3" t="s">
        <v>368</v>
      </c>
      <c r="B38" s="3" t="s">
        <v>2174</v>
      </c>
      <c r="C38" s="3" t="s">
        <v>2175</v>
      </c>
      <c r="D38" s="3" t="s">
        <v>2176</v>
      </c>
      <c r="E38" s="3" t="s">
        <v>2140</v>
      </c>
      <c r="F38" s="3" t="s">
        <v>370</v>
      </c>
      <c r="G38" s="3" t="s">
        <v>1200</v>
      </c>
      <c r="H38" s="3" t="s">
        <v>2177</v>
      </c>
      <c r="I38" s="3" t="s">
        <v>654</v>
      </c>
      <c r="J38" s="3" t="s">
        <v>655</v>
      </c>
      <c r="K38" s="3" t="s">
        <v>372</v>
      </c>
      <c r="L38" s="3" t="s">
        <v>2178</v>
      </c>
      <c r="M38" s="3" t="s">
        <v>2179</v>
      </c>
      <c r="N38" s="3" t="s">
        <v>371</v>
      </c>
      <c r="O38" s="3" t="s">
        <v>2180</v>
      </c>
      <c r="P38" s="3" t="s">
        <v>2181</v>
      </c>
      <c r="Q38" s="3" t="s">
        <v>2147</v>
      </c>
      <c r="R38" s="3" t="s">
        <v>2182</v>
      </c>
      <c r="S38" s="3" t="s">
        <v>2183</v>
      </c>
      <c r="T38" s="3" t="s">
        <v>2184</v>
      </c>
      <c r="U38" s="3" t="s">
        <v>2185</v>
      </c>
      <c r="V38" s="3" t="s">
        <v>2186</v>
      </c>
      <c r="W38" s="3" t="s">
        <v>867</v>
      </c>
      <c r="X38" s="3" t="s">
        <v>374</v>
      </c>
      <c r="Y38" s="3" t="s">
        <v>2187</v>
      </c>
      <c r="Z38" s="3" t="s">
        <v>2188</v>
      </c>
      <c r="AA38" s="3" t="s">
        <v>2189</v>
      </c>
      <c r="AB38" s="3" t="s">
        <v>2190</v>
      </c>
      <c r="AC38" s="3" t="s">
        <v>2191</v>
      </c>
      <c r="AD38" s="3" t="s">
        <v>2192</v>
      </c>
      <c r="AE38" s="3">
        <v>1</v>
      </c>
      <c r="AF38" s="3" t="s">
        <v>2193</v>
      </c>
      <c r="AG38" s="3" t="s">
        <v>666</v>
      </c>
      <c r="AH38" s="3" t="s">
        <v>673</v>
      </c>
      <c r="AI38" s="3" t="s">
        <v>2194</v>
      </c>
      <c r="AJ38" s="3" t="s">
        <v>2195</v>
      </c>
      <c r="AK38" s="3" t="s">
        <v>67</v>
      </c>
      <c r="AL38" s="3" t="s">
        <v>2196</v>
      </c>
      <c r="AM38" s="3" t="s">
        <v>1493</v>
      </c>
      <c r="AN38" s="3" t="s">
        <v>2197</v>
      </c>
      <c r="AO38" s="3" t="s">
        <v>734</v>
      </c>
      <c r="AP38" s="3" t="s">
        <v>734</v>
      </c>
      <c r="AQ38" s="3" t="s">
        <v>734</v>
      </c>
      <c r="AR38" s="3" t="s">
        <v>734</v>
      </c>
      <c r="AS38" s="3" t="s">
        <v>734</v>
      </c>
      <c r="AT38" s="3" t="s">
        <v>734</v>
      </c>
      <c r="AU38" s="3" t="s">
        <v>734</v>
      </c>
      <c r="AV38" s="3" t="s">
        <v>2198</v>
      </c>
      <c r="AW38" s="3" t="s">
        <v>2199</v>
      </c>
      <c r="AX38" s="3" t="s">
        <v>2200</v>
      </c>
      <c r="AY38" s="3" t="s">
        <v>2201</v>
      </c>
      <c r="AZ38" s="3" t="s">
        <v>2202</v>
      </c>
      <c r="BA38" s="3" t="s">
        <v>2203</v>
      </c>
      <c r="BB38" s="3" t="s">
        <v>2028</v>
      </c>
      <c r="BC38" s="3" t="s">
        <v>2028</v>
      </c>
      <c r="BD38" s="3" t="s">
        <v>2029</v>
      </c>
      <c r="BE38" s="3" t="s">
        <v>2029</v>
      </c>
      <c r="BF38" s="3" t="s">
        <v>1997</v>
      </c>
      <c r="BG38" s="3" t="s">
        <v>1997</v>
      </c>
      <c r="BH38" s="3" t="s">
        <v>2204</v>
      </c>
      <c r="BI38" s="3" t="s">
        <v>2205</v>
      </c>
      <c r="BJ38" s="3" t="s">
        <v>2206</v>
      </c>
      <c r="BK38" s="3" t="s">
        <v>1493</v>
      </c>
      <c r="BL38" s="3" t="s">
        <v>2207</v>
      </c>
      <c r="BM38" s="3" t="s">
        <v>2208</v>
      </c>
      <c r="BN38" s="3" t="s">
        <v>2209</v>
      </c>
      <c r="BO38" s="3" t="s">
        <v>2210</v>
      </c>
      <c r="BP38" s="3" t="s">
        <v>701</v>
      </c>
      <c r="BQ38" s="3" t="s">
        <v>666</v>
      </c>
      <c r="BR38" s="3" t="s">
        <v>2034</v>
      </c>
      <c r="BS38" s="3" t="s">
        <v>2211</v>
      </c>
      <c r="BT38" s="3" t="s">
        <v>2212</v>
      </c>
      <c r="BU38" s="3" t="s">
        <v>2213</v>
      </c>
      <c r="BV38" s="3" t="s">
        <v>1493</v>
      </c>
      <c r="BW38" s="3" t="s">
        <v>2214</v>
      </c>
      <c r="BX38" s="3" t="s">
        <v>2003</v>
      </c>
      <c r="BY38" s="3" t="s">
        <v>2215</v>
      </c>
      <c r="BZ38" s="3" t="s">
        <v>2216</v>
      </c>
      <c r="CA38" s="3" t="s">
        <v>377</v>
      </c>
      <c r="CB38" s="3" t="s">
        <v>2217</v>
      </c>
      <c r="CC38" s="3" t="s">
        <v>9</v>
      </c>
      <c r="CD38"/>
    </row>
    <row r="39" spans="1:82" ht="130.75" customHeight="1">
      <c r="A39" s="3" t="s">
        <v>378</v>
      </c>
      <c r="B39" s="3" t="s">
        <v>2218</v>
      </c>
      <c r="C39" s="3" t="s">
        <v>2219</v>
      </c>
      <c r="D39" s="3" t="s">
        <v>2220</v>
      </c>
      <c r="E39" s="3" t="s">
        <v>2140</v>
      </c>
      <c r="F39" s="3" t="s">
        <v>380</v>
      </c>
      <c r="G39" s="3" t="s">
        <v>1200</v>
      </c>
      <c r="H39" s="3" t="s">
        <v>2221</v>
      </c>
      <c r="I39" s="3" t="s">
        <v>654</v>
      </c>
      <c r="J39" s="3" t="s">
        <v>655</v>
      </c>
      <c r="K39" s="3" t="s">
        <v>382</v>
      </c>
      <c r="L39" s="3" t="s">
        <v>656</v>
      </c>
      <c r="M39" s="3" t="s">
        <v>2222</v>
      </c>
      <c r="N39" s="3" t="s">
        <v>381</v>
      </c>
      <c r="O39" s="3" t="s">
        <v>2223</v>
      </c>
      <c r="P39" s="3" t="s">
        <v>2224</v>
      </c>
      <c r="Q39" s="3" t="s">
        <v>660</v>
      </c>
      <c r="R39" s="3" t="s">
        <v>2225</v>
      </c>
      <c r="S39" s="3" t="s">
        <v>1493</v>
      </c>
      <c r="T39" s="3" t="s">
        <v>2076</v>
      </c>
      <c r="U39" s="3" t="s">
        <v>2226</v>
      </c>
      <c r="V39" s="3" t="s">
        <v>2227</v>
      </c>
      <c r="W39" s="3" t="s">
        <v>867</v>
      </c>
      <c r="X39" s="3" t="s">
        <v>155</v>
      </c>
      <c r="Y39" s="3" t="s">
        <v>2228</v>
      </c>
      <c r="Z39" s="3" t="s">
        <v>2229</v>
      </c>
      <c r="AA39" s="3" t="s">
        <v>1493</v>
      </c>
      <c r="AB39" s="3" t="s">
        <v>1493</v>
      </c>
      <c r="AC39" s="3" t="s">
        <v>1493</v>
      </c>
      <c r="AD39" s="3" t="s">
        <v>1493</v>
      </c>
      <c r="AE39" s="3" t="s">
        <v>728</v>
      </c>
      <c r="AF39" s="3" t="s">
        <v>2230</v>
      </c>
      <c r="AG39" s="3" t="s">
        <v>666</v>
      </c>
      <c r="AH39" s="3" t="s">
        <v>2231</v>
      </c>
      <c r="AI39" s="3" t="s">
        <v>2232</v>
      </c>
      <c r="AJ39" s="3" t="s">
        <v>2233</v>
      </c>
      <c r="AK39" s="3" t="s">
        <v>67</v>
      </c>
      <c r="AL39" s="3" t="s">
        <v>666</v>
      </c>
      <c r="AM39" s="3" t="s">
        <v>666</v>
      </c>
      <c r="AN39" s="3" t="s">
        <v>1493</v>
      </c>
      <c r="AO39" s="3" t="s">
        <v>734</v>
      </c>
      <c r="AP39" s="3" t="s">
        <v>734</v>
      </c>
      <c r="AQ39" s="3" t="s">
        <v>734</v>
      </c>
      <c r="AR39" s="3" t="s">
        <v>734</v>
      </c>
      <c r="AS39" s="3" t="s">
        <v>734</v>
      </c>
      <c r="AT39" s="3" t="s">
        <v>734</v>
      </c>
      <c r="AU39" s="3" t="s">
        <v>734</v>
      </c>
      <c r="AV39" s="3" t="s">
        <v>1493</v>
      </c>
      <c r="AW39" s="3" t="s">
        <v>790</v>
      </c>
      <c r="AX39" s="3" t="s">
        <v>790</v>
      </c>
      <c r="AY39" s="3" t="s">
        <v>790</v>
      </c>
      <c r="AZ39" s="3" t="s">
        <v>790</v>
      </c>
      <c r="BA39" s="3" t="s">
        <v>790</v>
      </c>
      <c r="BB39" s="3" t="s">
        <v>2234</v>
      </c>
      <c r="BC39" s="3" t="s">
        <v>687</v>
      </c>
      <c r="BD39" s="3" t="s">
        <v>2029</v>
      </c>
      <c r="BE39" s="3" t="s">
        <v>2029</v>
      </c>
      <c r="BF39" s="3" t="s">
        <v>2235</v>
      </c>
      <c r="BG39" s="3" t="s">
        <v>1314</v>
      </c>
      <c r="BH39" s="3" t="s">
        <v>2236</v>
      </c>
      <c r="BI39" s="3" t="s">
        <v>2237</v>
      </c>
      <c r="BJ39" s="3" t="s">
        <v>666</v>
      </c>
      <c r="BK39" s="3" t="s">
        <v>1493</v>
      </c>
      <c r="BL39" s="3" t="s">
        <v>2238</v>
      </c>
      <c r="BM39" s="3" t="s">
        <v>2239</v>
      </c>
      <c r="BN39" s="3" t="s">
        <v>2240</v>
      </c>
      <c r="BO39" s="3" t="s">
        <v>799</v>
      </c>
      <c r="BP39" s="3" t="s">
        <v>701</v>
      </c>
      <c r="BQ39" s="3" t="s">
        <v>666</v>
      </c>
      <c r="BR39" s="3" t="s">
        <v>2034</v>
      </c>
      <c r="BS39" s="3" t="s">
        <v>703</v>
      </c>
      <c r="BT39" s="3" t="s">
        <v>2241</v>
      </c>
      <c r="BU39" s="3" t="s">
        <v>666</v>
      </c>
      <c r="BV39" s="3" t="s">
        <v>1493</v>
      </c>
      <c r="BW39" s="3" t="s">
        <v>2242</v>
      </c>
      <c r="BX39" s="3" t="s">
        <v>2003</v>
      </c>
      <c r="BY39" s="3" t="s">
        <v>2243</v>
      </c>
      <c r="BZ39" s="3" t="s">
        <v>2038</v>
      </c>
      <c r="CA39" s="3" t="s">
        <v>385</v>
      </c>
      <c r="CB39" s="3" t="s">
        <v>2039</v>
      </c>
      <c r="CC39" s="3" t="s">
        <v>2244</v>
      </c>
      <c r="CD39"/>
    </row>
    <row r="40" spans="1:82" ht="149.25" customHeight="1">
      <c r="A40" s="3" t="s">
        <v>386</v>
      </c>
      <c r="B40" s="3" t="s">
        <v>2245</v>
      </c>
      <c r="C40" s="3" t="s">
        <v>2246</v>
      </c>
      <c r="D40" s="3" t="s">
        <v>2247</v>
      </c>
      <c r="E40" s="3" t="s">
        <v>2140</v>
      </c>
      <c r="F40" s="3" t="s">
        <v>388</v>
      </c>
      <c r="G40" s="3" t="s">
        <v>2248</v>
      </c>
      <c r="H40" s="3" t="s">
        <v>2249</v>
      </c>
      <c r="I40" s="3" t="s">
        <v>654</v>
      </c>
      <c r="J40" s="3" t="s">
        <v>1029</v>
      </c>
      <c r="K40" s="3" t="s">
        <v>390</v>
      </c>
      <c r="L40" s="3" t="s">
        <v>1606</v>
      </c>
      <c r="M40" s="3" t="s">
        <v>2250</v>
      </c>
      <c r="N40" s="3" t="s">
        <v>389</v>
      </c>
      <c r="O40" s="3" t="s">
        <v>2251</v>
      </c>
      <c r="P40" s="3" t="s">
        <v>2252</v>
      </c>
      <c r="Q40" s="3" t="s">
        <v>2253</v>
      </c>
      <c r="R40" s="3" t="s">
        <v>2254</v>
      </c>
      <c r="S40" s="3" t="s">
        <v>863</v>
      </c>
      <c r="T40" s="3" t="s">
        <v>2255</v>
      </c>
      <c r="U40" s="3" t="s">
        <v>2256</v>
      </c>
      <c r="V40" s="3" t="s">
        <v>2257</v>
      </c>
      <c r="W40" s="3" t="s">
        <v>2258</v>
      </c>
      <c r="X40" s="3" t="s">
        <v>392</v>
      </c>
      <c r="Y40" s="3" t="s">
        <v>2259</v>
      </c>
      <c r="Z40" s="3" t="s">
        <v>2260</v>
      </c>
      <c r="AA40" s="3" t="s">
        <v>2261</v>
      </c>
      <c r="AB40" s="3" t="s">
        <v>2262</v>
      </c>
      <c r="AC40" s="3" t="s">
        <v>2262</v>
      </c>
      <c r="AD40" s="3" t="s">
        <v>2263</v>
      </c>
      <c r="AE40" s="3" t="s">
        <v>2264</v>
      </c>
      <c r="AF40" s="3" t="s">
        <v>2265</v>
      </c>
      <c r="AG40" s="3" t="s">
        <v>2266</v>
      </c>
      <c r="AH40" s="3" t="s">
        <v>2267</v>
      </c>
      <c r="AI40" s="3" t="s">
        <v>2268</v>
      </c>
      <c r="AJ40" s="3" t="s">
        <v>2269</v>
      </c>
      <c r="AK40" s="3" t="s">
        <v>394</v>
      </c>
      <c r="AL40" s="3" t="s">
        <v>2270</v>
      </c>
      <c r="AM40" s="3" t="s">
        <v>2271</v>
      </c>
      <c r="AN40" s="3" t="s">
        <v>2272</v>
      </c>
      <c r="AO40" s="3" t="s">
        <v>2273</v>
      </c>
      <c r="AP40" s="3" t="s">
        <v>1635</v>
      </c>
      <c r="AQ40" s="3" t="s">
        <v>734</v>
      </c>
      <c r="AR40" s="3" t="s">
        <v>734</v>
      </c>
      <c r="AS40" s="3" t="s">
        <v>734</v>
      </c>
      <c r="AT40" s="3" t="s">
        <v>734</v>
      </c>
      <c r="AU40" s="3" t="s">
        <v>734</v>
      </c>
      <c r="AV40" s="3" t="s">
        <v>2274</v>
      </c>
      <c r="AW40" s="3" t="s">
        <v>790</v>
      </c>
      <c r="AX40" s="3" t="s">
        <v>790</v>
      </c>
      <c r="AY40" s="3" t="s">
        <v>790</v>
      </c>
      <c r="AZ40" s="3" t="s">
        <v>790</v>
      </c>
      <c r="BA40" s="3" t="s">
        <v>790</v>
      </c>
      <c r="BB40" s="3" t="s">
        <v>2028</v>
      </c>
      <c r="BC40" s="3" t="s">
        <v>2028</v>
      </c>
      <c r="BD40" s="3" t="s">
        <v>2275</v>
      </c>
      <c r="BE40" s="3" t="s">
        <v>2276</v>
      </c>
      <c r="BF40" s="3" t="s">
        <v>1997</v>
      </c>
      <c r="BG40" s="3" t="s">
        <v>1997</v>
      </c>
      <c r="BH40" s="3" t="s">
        <v>1641</v>
      </c>
      <c r="BI40" s="3" t="s">
        <v>1999</v>
      </c>
      <c r="BJ40" s="3" t="s">
        <v>1999</v>
      </c>
      <c r="BK40" s="3" t="s">
        <v>1999</v>
      </c>
      <c r="BL40" s="3" t="s">
        <v>1999</v>
      </c>
      <c r="BM40" s="3" t="s">
        <v>2277</v>
      </c>
      <c r="BN40" s="3" t="s">
        <v>1999</v>
      </c>
      <c r="BO40" s="3" t="s">
        <v>2278</v>
      </c>
      <c r="BP40" s="3" t="s">
        <v>701</v>
      </c>
      <c r="BQ40" s="3" t="s">
        <v>2279</v>
      </c>
      <c r="BR40" s="3" t="s">
        <v>2034</v>
      </c>
      <c r="BS40" s="3" t="s">
        <v>2280</v>
      </c>
      <c r="BT40" s="3" t="s">
        <v>2281</v>
      </c>
      <c r="BU40" s="3" t="s">
        <v>680</v>
      </c>
      <c r="BV40" s="3" t="s">
        <v>666</v>
      </c>
      <c r="BW40" s="3" t="s">
        <v>705</v>
      </c>
      <c r="BX40" s="3" t="s">
        <v>2282</v>
      </c>
      <c r="BY40" s="3" t="s">
        <v>2283</v>
      </c>
      <c r="BZ40" s="3" t="s">
        <v>2284</v>
      </c>
      <c r="CA40" s="3" t="s">
        <v>2285</v>
      </c>
      <c r="CB40" s="3" t="s">
        <v>2286</v>
      </c>
      <c r="CC40" s="3" t="s">
        <v>1239</v>
      </c>
      <c r="CD40"/>
    </row>
    <row r="41" spans="1:82" ht="117.25" customHeight="1">
      <c r="A41" s="3" t="s">
        <v>397</v>
      </c>
      <c r="B41" s="3" t="s">
        <v>2287</v>
      </c>
      <c r="C41" s="3" t="s">
        <v>2288</v>
      </c>
      <c r="D41" s="3" t="s">
        <v>2289</v>
      </c>
      <c r="E41" s="3" t="s">
        <v>2140</v>
      </c>
      <c r="F41" s="3" t="s">
        <v>399</v>
      </c>
      <c r="G41" s="3" t="s">
        <v>2290</v>
      </c>
      <c r="H41" s="3" t="s">
        <v>2291</v>
      </c>
      <c r="I41" s="3" t="s">
        <v>654</v>
      </c>
      <c r="J41" s="3" t="s">
        <v>655</v>
      </c>
      <c r="K41" s="3" t="s">
        <v>401</v>
      </c>
      <c r="L41" s="3" t="s">
        <v>2292</v>
      </c>
      <c r="M41" s="3" t="s">
        <v>2293</v>
      </c>
      <c r="N41" s="3" t="s">
        <v>400</v>
      </c>
      <c r="O41" s="3" t="s">
        <v>2294</v>
      </c>
      <c r="P41" s="3" t="s">
        <v>2295</v>
      </c>
      <c r="Q41" s="3" t="s">
        <v>2296</v>
      </c>
      <c r="R41" s="3" t="s">
        <v>2297</v>
      </c>
      <c r="S41" s="3" t="s">
        <v>1493</v>
      </c>
      <c r="T41" s="3" t="s">
        <v>2076</v>
      </c>
      <c r="U41" s="3" t="s">
        <v>2298</v>
      </c>
      <c r="V41" s="3" t="s">
        <v>2186</v>
      </c>
      <c r="W41" s="3" t="s">
        <v>867</v>
      </c>
      <c r="X41" s="3" t="s">
        <v>65</v>
      </c>
      <c r="Y41" s="3" t="s">
        <v>2299</v>
      </c>
      <c r="Z41" s="3" t="s">
        <v>2300</v>
      </c>
      <c r="AA41" s="3" t="s">
        <v>1493</v>
      </c>
      <c r="AB41" s="3" t="s">
        <v>1493</v>
      </c>
      <c r="AC41" s="3" t="s">
        <v>1493</v>
      </c>
      <c r="AD41" s="3" t="s">
        <v>1493</v>
      </c>
      <c r="AE41" s="3" t="s">
        <v>728</v>
      </c>
      <c r="AF41" s="3" t="s">
        <v>1493</v>
      </c>
      <c r="AG41" s="3" t="s">
        <v>666</v>
      </c>
      <c r="AH41" s="3" t="s">
        <v>2112</v>
      </c>
      <c r="AI41" s="3" t="s">
        <v>2299</v>
      </c>
      <c r="AJ41" s="3" t="s">
        <v>2301</v>
      </c>
      <c r="AK41" s="3" t="s">
        <v>67</v>
      </c>
      <c r="AL41" s="3" t="s">
        <v>666</v>
      </c>
      <c r="AM41" s="3" t="s">
        <v>666</v>
      </c>
      <c r="AN41" s="3" t="s">
        <v>1493</v>
      </c>
      <c r="AO41" s="3" t="s">
        <v>734</v>
      </c>
      <c r="AP41" s="3" t="s">
        <v>734</v>
      </c>
      <c r="AQ41" s="3" t="s">
        <v>734</v>
      </c>
      <c r="AR41" s="3" t="s">
        <v>734</v>
      </c>
      <c r="AS41" s="3" t="s">
        <v>734</v>
      </c>
      <c r="AT41" s="3" t="s">
        <v>734</v>
      </c>
      <c r="AU41" s="3" t="s">
        <v>734</v>
      </c>
      <c r="AV41" s="3" t="s">
        <v>2302</v>
      </c>
      <c r="AW41" s="3" t="s">
        <v>2303</v>
      </c>
      <c r="AX41" s="3" t="s">
        <v>2304</v>
      </c>
      <c r="AY41" s="3" t="s">
        <v>687</v>
      </c>
      <c r="AZ41" s="3" t="s">
        <v>1493</v>
      </c>
      <c r="BA41" s="3" t="s">
        <v>2305</v>
      </c>
      <c r="BB41" s="3" t="s">
        <v>2028</v>
      </c>
      <c r="BC41" s="3" t="s">
        <v>2028</v>
      </c>
      <c r="BD41" s="3" t="s">
        <v>2029</v>
      </c>
      <c r="BE41" s="3" t="s">
        <v>2029</v>
      </c>
      <c r="BF41" s="3" t="s">
        <v>2306</v>
      </c>
      <c r="BG41" s="3" t="s">
        <v>2307</v>
      </c>
      <c r="BH41" s="3" t="s">
        <v>2308</v>
      </c>
      <c r="BI41" s="3" t="s">
        <v>2309</v>
      </c>
      <c r="BJ41" s="3" t="s">
        <v>666</v>
      </c>
      <c r="BK41" s="3" t="s">
        <v>1493</v>
      </c>
      <c r="BL41" s="3" t="s">
        <v>2310</v>
      </c>
      <c r="BM41" s="3" t="s">
        <v>2311</v>
      </c>
      <c r="BN41" s="3" t="s">
        <v>2312</v>
      </c>
      <c r="BO41" s="3" t="s">
        <v>2313</v>
      </c>
      <c r="BP41" s="3" t="s">
        <v>561</v>
      </c>
      <c r="BQ41" s="3" t="s">
        <v>2314</v>
      </c>
      <c r="BR41" s="3" t="s">
        <v>2315</v>
      </c>
      <c r="BS41" s="3" t="s">
        <v>2316</v>
      </c>
      <c r="BT41" s="3" t="s">
        <v>2317</v>
      </c>
      <c r="BU41" s="3" t="s">
        <v>2318</v>
      </c>
      <c r="BV41" s="3" t="s">
        <v>1493</v>
      </c>
      <c r="BW41" s="3" t="s">
        <v>705</v>
      </c>
      <c r="BX41" s="3" t="s">
        <v>2003</v>
      </c>
      <c r="BY41" s="3" t="s">
        <v>2319</v>
      </c>
      <c r="BZ41" s="3" t="s">
        <v>2038</v>
      </c>
      <c r="CA41" s="3" t="s">
        <v>405</v>
      </c>
      <c r="CB41" s="3" t="s">
        <v>2039</v>
      </c>
      <c r="CC41" s="3" t="s">
        <v>2320</v>
      </c>
      <c r="CD41"/>
    </row>
    <row r="42" spans="1:82" ht="129.25" customHeight="1">
      <c r="A42" s="3" t="s">
        <v>406</v>
      </c>
      <c r="B42" s="3" t="s">
        <v>2321</v>
      </c>
      <c r="C42" s="3" t="s">
        <v>2322</v>
      </c>
      <c r="D42" s="3" t="s">
        <v>2323</v>
      </c>
      <c r="E42" s="3" t="s">
        <v>2140</v>
      </c>
      <c r="F42" s="3" t="s">
        <v>408</v>
      </c>
      <c r="G42" s="3" t="s">
        <v>2324</v>
      </c>
      <c r="H42" s="3" t="s">
        <v>2325</v>
      </c>
      <c r="I42" s="3" t="s">
        <v>654</v>
      </c>
      <c r="J42" s="3" t="s">
        <v>655</v>
      </c>
      <c r="K42" s="3" t="s">
        <v>410</v>
      </c>
      <c r="L42" s="3" t="s">
        <v>2326</v>
      </c>
      <c r="M42" s="3" t="s">
        <v>2327</v>
      </c>
      <c r="N42" s="3" t="s">
        <v>409</v>
      </c>
      <c r="O42" s="3" t="s">
        <v>2328</v>
      </c>
      <c r="P42" s="3" t="s">
        <v>2329</v>
      </c>
      <c r="Q42" s="3" t="s">
        <v>2330</v>
      </c>
      <c r="R42" s="3" t="s">
        <v>1079</v>
      </c>
      <c r="S42" s="3" t="s">
        <v>863</v>
      </c>
      <c r="T42" s="3" t="s">
        <v>2331</v>
      </c>
      <c r="U42" s="3" t="s">
        <v>2332</v>
      </c>
      <c r="V42" s="3" t="s">
        <v>2333</v>
      </c>
      <c r="W42" s="3" t="s">
        <v>680</v>
      </c>
      <c r="X42" s="3" t="s">
        <v>65</v>
      </c>
      <c r="Y42" s="3" t="s">
        <v>2334</v>
      </c>
      <c r="Z42" s="3" t="s">
        <v>2335</v>
      </c>
      <c r="AA42" s="3" t="s">
        <v>2336</v>
      </c>
      <c r="AB42" s="3" t="s">
        <v>2110</v>
      </c>
      <c r="AC42" s="3" t="s">
        <v>2337</v>
      </c>
      <c r="AD42" s="3" t="s">
        <v>2338</v>
      </c>
      <c r="AE42" s="3">
        <v>1</v>
      </c>
      <c r="AF42" s="3" t="s">
        <v>2339</v>
      </c>
      <c r="AG42" s="3" t="s">
        <v>666</v>
      </c>
      <c r="AH42" s="3" t="s">
        <v>2340</v>
      </c>
      <c r="AI42" s="3" t="s">
        <v>2341</v>
      </c>
      <c r="AJ42" s="3" t="s">
        <v>2342</v>
      </c>
      <c r="AK42" s="3" t="s">
        <v>55</v>
      </c>
      <c r="AL42" s="3" t="s">
        <v>2343</v>
      </c>
      <c r="AM42" s="3" t="s">
        <v>666</v>
      </c>
      <c r="AN42" s="3" t="s">
        <v>2344</v>
      </c>
      <c r="AO42" s="3" t="s">
        <v>2345</v>
      </c>
      <c r="AP42" s="3" t="s">
        <v>2346</v>
      </c>
      <c r="AQ42" s="3" t="s">
        <v>2347</v>
      </c>
      <c r="AR42" s="3" t="s">
        <v>2348</v>
      </c>
      <c r="AS42" s="3" t="s">
        <v>2349</v>
      </c>
      <c r="AT42" s="3" t="s">
        <v>690</v>
      </c>
      <c r="AU42" s="3" t="s">
        <v>2350</v>
      </c>
      <c r="AV42" s="3" t="s">
        <v>2351</v>
      </c>
      <c r="AW42" s="3" t="s">
        <v>690</v>
      </c>
      <c r="AX42" s="3" t="s">
        <v>790</v>
      </c>
      <c r="AY42" s="3" t="s">
        <v>691</v>
      </c>
      <c r="AZ42" s="3" t="s">
        <v>790</v>
      </c>
      <c r="BA42" s="3" t="s">
        <v>790</v>
      </c>
      <c r="BB42" s="3" t="s">
        <v>690</v>
      </c>
      <c r="BC42" s="3" t="s">
        <v>691</v>
      </c>
      <c r="BD42" s="3" t="s">
        <v>690</v>
      </c>
      <c r="BE42" s="3" t="s">
        <v>691</v>
      </c>
      <c r="BF42" s="3" t="s">
        <v>690</v>
      </c>
      <c r="BG42" s="3" t="s">
        <v>691</v>
      </c>
      <c r="BH42" s="3" t="s">
        <v>2352</v>
      </c>
      <c r="BI42" s="3" t="s">
        <v>2353</v>
      </c>
      <c r="BJ42" s="3" t="s">
        <v>2354</v>
      </c>
      <c r="BK42" s="3" t="s">
        <v>2355</v>
      </c>
      <c r="BL42" s="3" t="s">
        <v>2356</v>
      </c>
      <c r="BM42" s="3" t="s">
        <v>2357</v>
      </c>
      <c r="BN42" s="3" t="s">
        <v>2358</v>
      </c>
      <c r="BO42" s="3" t="s">
        <v>2359</v>
      </c>
      <c r="BP42" s="3" t="s">
        <v>2360</v>
      </c>
      <c r="BQ42" s="3" t="s">
        <v>2361</v>
      </c>
      <c r="BR42" s="3" t="s">
        <v>2362</v>
      </c>
      <c r="BS42" s="3" t="s">
        <v>2363</v>
      </c>
      <c r="BT42" s="3" t="s">
        <v>2364</v>
      </c>
      <c r="BU42" s="3" t="s">
        <v>2365</v>
      </c>
      <c r="BV42" s="3" t="s">
        <v>680</v>
      </c>
      <c r="BW42" s="3" t="s">
        <v>2366</v>
      </c>
      <c r="BX42" s="3" t="s">
        <v>2367</v>
      </c>
      <c r="BY42" s="3" t="s">
        <v>2368</v>
      </c>
      <c r="BZ42" s="3" t="s">
        <v>2369</v>
      </c>
      <c r="CA42" s="3" t="s">
        <v>414</v>
      </c>
      <c r="CB42" s="3" t="s">
        <v>2370</v>
      </c>
      <c r="CC42" s="3" t="s">
        <v>1289</v>
      </c>
      <c r="CD42"/>
    </row>
    <row r="43" spans="1:82" ht="121.25" customHeight="1">
      <c r="A43" s="3" t="s">
        <v>415</v>
      </c>
      <c r="B43" s="3" t="s">
        <v>2371</v>
      </c>
      <c r="C43" s="3" t="s">
        <v>2372</v>
      </c>
      <c r="D43" s="3" t="s">
        <v>2373</v>
      </c>
      <c r="E43" s="3" t="s">
        <v>2374</v>
      </c>
      <c r="F43" s="3" t="s">
        <v>416</v>
      </c>
      <c r="G43" s="3" t="s">
        <v>2375</v>
      </c>
      <c r="H43" s="3" t="s">
        <v>2376</v>
      </c>
      <c r="I43" s="3" t="s">
        <v>654</v>
      </c>
      <c r="J43" s="3" t="s">
        <v>655</v>
      </c>
      <c r="K43" s="3" t="s">
        <v>84</v>
      </c>
      <c r="L43" s="3" t="s">
        <v>2377</v>
      </c>
      <c r="M43" s="3" t="s">
        <v>2378</v>
      </c>
      <c r="N43" s="3" t="s">
        <v>417</v>
      </c>
      <c r="O43" s="3" t="s">
        <v>1803</v>
      </c>
      <c r="P43" s="3" t="s">
        <v>2379</v>
      </c>
      <c r="Q43" s="3" t="s">
        <v>2380</v>
      </c>
      <c r="R43" s="3" t="s">
        <v>720</v>
      </c>
      <c r="S43" s="3" t="s">
        <v>2381</v>
      </c>
      <c r="T43" s="3" t="s">
        <v>2382</v>
      </c>
      <c r="U43" s="3" t="s">
        <v>2383</v>
      </c>
      <c r="V43" s="3" t="s">
        <v>2384</v>
      </c>
      <c r="W43" s="3" t="s">
        <v>725</v>
      </c>
      <c r="X43" s="3" t="s">
        <v>65</v>
      </c>
      <c r="Y43" s="3" t="s">
        <v>2385</v>
      </c>
      <c r="Z43" s="3" t="s">
        <v>2386</v>
      </c>
      <c r="AA43" s="3" t="s">
        <v>2387</v>
      </c>
      <c r="AB43" s="3" t="s">
        <v>669</v>
      </c>
      <c r="AC43" s="3" t="s">
        <v>669</v>
      </c>
      <c r="AD43" s="3" t="s">
        <v>2388</v>
      </c>
      <c r="AE43" s="3" t="s">
        <v>728</v>
      </c>
      <c r="AF43" s="3" t="s">
        <v>2389</v>
      </c>
      <c r="AG43" s="3" t="s">
        <v>666</v>
      </c>
      <c r="AH43" s="3" t="s">
        <v>1453</v>
      </c>
      <c r="AI43" s="3" t="s">
        <v>2390</v>
      </c>
      <c r="AJ43" s="3" t="s">
        <v>2391</v>
      </c>
      <c r="AK43" s="3" t="s">
        <v>420</v>
      </c>
      <c r="AL43" s="3" t="s">
        <v>666</v>
      </c>
      <c r="AM43" s="3" t="s">
        <v>666</v>
      </c>
      <c r="AN43" s="3" t="s">
        <v>2392</v>
      </c>
      <c r="AO43" s="3" t="s">
        <v>690</v>
      </c>
      <c r="AP43" s="3" t="s">
        <v>691</v>
      </c>
      <c r="AQ43" s="3" t="s">
        <v>734</v>
      </c>
      <c r="AR43" s="3" t="s">
        <v>734</v>
      </c>
      <c r="AS43" s="3" t="s">
        <v>734</v>
      </c>
      <c r="AT43" s="3" t="s">
        <v>734</v>
      </c>
      <c r="AU43" s="3" t="s">
        <v>734</v>
      </c>
      <c r="AV43" s="3" t="s">
        <v>2393</v>
      </c>
      <c r="AW43" s="3" t="s">
        <v>2394</v>
      </c>
      <c r="AX43" s="3" t="s">
        <v>2395</v>
      </c>
      <c r="AY43" s="3" t="s">
        <v>687</v>
      </c>
      <c r="AZ43" s="3" t="s">
        <v>2396</v>
      </c>
      <c r="BA43" s="3" t="s">
        <v>2397</v>
      </c>
      <c r="BB43" s="3" t="s">
        <v>690</v>
      </c>
      <c r="BC43" s="3" t="s">
        <v>691</v>
      </c>
      <c r="BD43" s="3" t="s">
        <v>690</v>
      </c>
      <c r="BE43" s="3" t="s">
        <v>691</v>
      </c>
      <c r="BF43" s="3" t="s">
        <v>1997</v>
      </c>
      <c r="BG43" s="3" t="s">
        <v>1997</v>
      </c>
      <c r="BH43" s="3" t="s">
        <v>2398</v>
      </c>
      <c r="BI43" s="3" t="s">
        <v>2399</v>
      </c>
      <c r="BJ43" s="3" t="s">
        <v>666</v>
      </c>
      <c r="BK43" s="3" t="s">
        <v>2400</v>
      </c>
      <c r="BL43" s="3" t="s">
        <v>2401</v>
      </c>
      <c r="BM43" s="3" t="s">
        <v>2402</v>
      </c>
      <c r="BN43" s="3" t="s">
        <v>2403</v>
      </c>
      <c r="BO43" s="3" t="s">
        <v>2404</v>
      </c>
      <c r="BP43" s="3" t="s">
        <v>2405</v>
      </c>
      <c r="BQ43" s="3" t="s">
        <v>2406</v>
      </c>
      <c r="BR43" s="3" t="s">
        <v>2407</v>
      </c>
      <c r="BS43" s="3" t="s">
        <v>703</v>
      </c>
      <c r="BT43" s="3" t="s">
        <v>2408</v>
      </c>
      <c r="BU43" s="3" t="s">
        <v>666</v>
      </c>
      <c r="BV43" s="3" t="s">
        <v>680</v>
      </c>
      <c r="BW43" s="3" t="s">
        <v>1832</v>
      </c>
      <c r="BX43" s="3" t="s">
        <v>2409</v>
      </c>
      <c r="BY43" s="3" t="s">
        <v>2410</v>
      </c>
      <c r="BZ43" s="3" t="s">
        <v>2411</v>
      </c>
      <c r="CA43" s="3" t="s">
        <v>421</v>
      </c>
      <c r="CB43" s="3" t="s">
        <v>2412</v>
      </c>
      <c r="CC43" s="3" t="s">
        <v>17</v>
      </c>
      <c r="CD43"/>
    </row>
    <row r="44" spans="1:82" ht="133.25" customHeight="1">
      <c r="A44" s="3" t="s">
        <v>422</v>
      </c>
      <c r="B44" s="3" t="s">
        <v>2413</v>
      </c>
      <c r="C44" s="3" t="s">
        <v>2414</v>
      </c>
      <c r="D44" s="3" t="s">
        <v>2415</v>
      </c>
      <c r="E44" s="3" t="s">
        <v>2374</v>
      </c>
      <c r="F44" s="3" t="s">
        <v>424</v>
      </c>
      <c r="G44" s="3" t="s">
        <v>1976</v>
      </c>
      <c r="H44" s="3" t="s">
        <v>2416</v>
      </c>
      <c r="I44" s="3" t="s">
        <v>654</v>
      </c>
      <c r="J44" s="3" t="s">
        <v>655</v>
      </c>
      <c r="K44" s="3" t="s">
        <v>426</v>
      </c>
      <c r="L44" s="3" t="s">
        <v>1606</v>
      </c>
      <c r="M44" s="3" t="s">
        <v>1978</v>
      </c>
      <c r="N44" s="3" t="s">
        <v>425</v>
      </c>
      <c r="O44" s="3" t="s">
        <v>2417</v>
      </c>
      <c r="P44" s="3" t="s">
        <v>2418</v>
      </c>
      <c r="Q44" s="3" t="s">
        <v>2419</v>
      </c>
      <c r="R44" s="3" t="s">
        <v>2420</v>
      </c>
      <c r="S44" s="3" t="s">
        <v>2421</v>
      </c>
      <c r="T44" s="3" t="s">
        <v>2422</v>
      </c>
      <c r="U44" s="3" t="s">
        <v>2423</v>
      </c>
      <c r="V44" s="3" t="s">
        <v>2424</v>
      </c>
      <c r="W44" s="3" t="s">
        <v>2425</v>
      </c>
      <c r="X44" s="3" t="s">
        <v>428</v>
      </c>
      <c r="Y44" s="3" t="s">
        <v>2426</v>
      </c>
      <c r="Z44" s="3" t="s">
        <v>2427</v>
      </c>
      <c r="AA44" s="3" t="s">
        <v>1493</v>
      </c>
      <c r="AB44" s="3" t="s">
        <v>2428</v>
      </c>
      <c r="AC44" s="3" t="s">
        <v>2428</v>
      </c>
      <c r="AD44" s="3" t="s">
        <v>2428</v>
      </c>
      <c r="AE44" s="3" t="s">
        <v>1622</v>
      </c>
      <c r="AF44" s="3" t="s">
        <v>2428</v>
      </c>
      <c r="AG44" s="3" t="s">
        <v>2429</v>
      </c>
      <c r="AH44" s="3" t="s">
        <v>2430</v>
      </c>
      <c r="AI44" s="3" t="s">
        <v>2431</v>
      </c>
      <c r="AJ44" s="3" t="s">
        <v>2432</v>
      </c>
      <c r="AK44" s="3" t="s">
        <v>394</v>
      </c>
      <c r="AL44" s="3" t="s">
        <v>666</v>
      </c>
      <c r="AM44" s="3" t="s">
        <v>666</v>
      </c>
      <c r="AN44" s="3" t="s">
        <v>2428</v>
      </c>
      <c r="AO44" s="3" t="s">
        <v>2433</v>
      </c>
      <c r="AP44" s="3" t="s">
        <v>1635</v>
      </c>
      <c r="AQ44" s="3" t="s">
        <v>734</v>
      </c>
      <c r="AR44" s="3" t="s">
        <v>734</v>
      </c>
      <c r="AS44" s="3" t="s">
        <v>734</v>
      </c>
      <c r="AT44" s="3" t="s">
        <v>734</v>
      </c>
      <c r="AU44" s="3" t="s">
        <v>734</v>
      </c>
      <c r="AV44" s="3" t="s">
        <v>2434</v>
      </c>
      <c r="AW44" s="3" t="s">
        <v>2435</v>
      </c>
      <c r="AX44" s="3" t="s">
        <v>790</v>
      </c>
      <c r="AY44" s="3" t="s">
        <v>1635</v>
      </c>
      <c r="AZ44" s="3" t="s">
        <v>790</v>
      </c>
      <c r="BA44" s="3" t="s">
        <v>790</v>
      </c>
      <c r="BB44" s="3" t="s">
        <v>2436</v>
      </c>
      <c r="BC44" s="3" t="s">
        <v>1635</v>
      </c>
      <c r="BD44" s="3" t="s">
        <v>2437</v>
      </c>
      <c r="BE44" s="3" t="s">
        <v>2438</v>
      </c>
      <c r="BF44" s="3" t="s">
        <v>1997</v>
      </c>
      <c r="BG44" s="3" t="s">
        <v>1997</v>
      </c>
      <c r="BH44" s="3" t="s">
        <v>1641</v>
      </c>
      <c r="BI44" s="3" t="s">
        <v>733</v>
      </c>
      <c r="BJ44" s="3" t="s">
        <v>1999</v>
      </c>
      <c r="BK44" s="3" t="s">
        <v>1999</v>
      </c>
      <c r="BL44" s="3" t="s">
        <v>1999</v>
      </c>
      <c r="BM44" s="3" t="s">
        <v>2439</v>
      </c>
      <c r="BN44" s="3" t="s">
        <v>1999</v>
      </c>
      <c r="BO44" s="3" t="s">
        <v>799</v>
      </c>
      <c r="BP44" s="3" t="s">
        <v>701</v>
      </c>
      <c r="BQ44" s="3" t="s">
        <v>2279</v>
      </c>
      <c r="BR44" s="3" t="s">
        <v>2034</v>
      </c>
      <c r="BS44" s="3" t="s">
        <v>2440</v>
      </c>
      <c r="BT44" s="3" t="s">
        <v>2441</v>
      </c>
      <c r="BU44" s="3" t="s">
        <v>680</v>
      </c>
      <c r="BV44" s="3" t="s">
        <v>666</v>
      </c>
      <c r="BW44" s="3" t="s">
        <v>1832</v>
      </c>
      <c r="BX44" s="3" t="s">
        <v>2442</v>
      </c>
      <c r="BY44" s="3" t="s">
        <v>2443</v>
      </c>
      <c r="BZ44" s="3" t="s">
        <v>2444</v>
      </c>
      <c r="CA44" s="3" t="s">
        <v>431</v>
      </c>
      <c r="CB44" s="3" t="s">
        <v>2039</v>
      </c>
      <c r="CC44" s="3" t="s">
        <v>1239</v>
      </c>
      <c r="CD44"/>
    </row>
    <row r="45" spans="1:82" ht="133.25" customHeight="1">
      <c r="A45" s="3" t="s">
        <v>432</v>
      </c>
      <c r="B45" s="3" t="s">
        <v>2445</v>
      </c>
      <c r="C45" s="3" t="s">
        <v>2446</v>
      </c>
      <c r="D45" s="3" t="s">
        <v>2447</v>
      </c>
      <c r="E45" s="3" t="s">
        <v>2374</v>
      </c>
      <c r="F45" s="3" t="s">
        <v>434</v>
      </c>
      <c r="G45" s="3" t="s">
        <v>1976</v>
      </c>
      <c r="H45" s="3" t="s">
        <v>2448</v>
      </c>
      <c r="I45" s="3" t="s">
        <v>654</v>
      </c>
      <c r="J45" s="3" t="s">
        <v>655</v>
      </c>
      <c r="K45" s="3" t="s">
        <v>436</v>
      </c>
      <c r="L45" s="3" t="s">
        <v>1606</v>
      </c>
      <c r="M45" s="3" t="s">
        <v>1978</v>
      </c>
      <c r="N45" s="3" t="s">
        <v>435</v>
      </c>
      <c r="O45" s="3" t="s">
        <v>2449</v>
      </c>
      <c r="P45" s="3" t="s">
        <v>2450</v>
      </c>
      <c r="Q45" s="3" t="s">
        <v>2451</v>
      </c>
      <c r="R45" s="3" t="s">
        <v>2452</v>
      </c>
      <c r="S45" s="3" t="s">
        <v>863</v>
      </c>
      <c r="T45" s="3" t="s">
        <v>2453</v>
      </c>
      <c r="U45" s="3" t="s">
        <v>2454</v>
      </c>
      <c r="V45" s="3" t="s">
        <v>2455</v>
      </c>
      <c r="W45" s="3" t="s">
        <v>2456</v>
      </c>
      <c r="X45" s="3" t="s">
        <v>438</v>
      </c>
      <c r="Y45" s="3" t="s">
        <v>2457</v>
      </c>
      <c r="Z45" s="3" t="s">
        <v>2458</v>
      </c>
      <c r="AA45" s="3" t="s">
        <v>2459</v>
      </c>
      <c r="AB45" s="3" t="s">
        <v>2428</v>
      </c>
      <c r="AC45" s="3" t="s">
        <v>2428</v>
      </c>
      <c r="AD45" s="3" t="s">
        <v>2428</v>
      </c>
      <c r="AE45" s="3" t="s">
        <v>2460</v>
      </c>
      <c r="AF45" s="3" t="s">
        <v>2461</v>
      </c>
      <c r="AG45" s="3" t="s">
        <v>2462</v>
      </c>
      <c r="AH45" s="3" t="s">
        <v>2463</v>
      </c>
      <c r="AI45" s="3" t="s">
        <v>1626</v>
      </c>
      <c r="AJ45" s="3" t="s">
        <v>733</v>
      </c>
      <c r="AK45" s="3" t="s">
        <v>440</v>
      </c>
      <c r="AL45" s="3" t="s">
        <v>2270</v>
      </c>
      <c r="AM45" s="3" t="s">
        <v>2271</v>
      </c>
      <c r="AN45" s="3" t="s">
        <v>2428</v>
      </c>
      <c r="AO45" s="3" t="s">
        <v>2464</v>
      </c>
      <c r="AP45" s="3" t="s">
        <v>1635</v>
      </c>
      <c r="AQ45" s="3" t="s">
        <v>734</v>
      </c>
      <c r="AR45" s="3" t="s">
        <v>734</v>
      </c>
      <c r="AS45" s="3" t="s">
        <v>734</v>
      </c>
      <c r="AT45" s="3" t="s">
        <v>734</v>
      </c>
      <c r="AU45" s="3" t="s">
        <v>734</v>
      </c>
      <c r="AV45" s="3" t="s">
        <v>2465</v>
      </c>
      <c r="AW45" s="3" t="s">
        <v>2466</v>
      </c>
      <c r="AX45" s="3" t="s">
        <v>790</v>
      </c>
      <c r="AY45" s="3" t="s">
        <v>691</v>
      </c>
      <c r="AZ45" s="3" t="s">
        <v>790</v>
      </c>
      <c r="BA45" s="3" t="s">
        <v>790</v>
      </c>
      <c r="BB45" s="3" t="s">
        <v>2467</v>
      </c>
      <c r="BC45" s="3" t="s">
        <v>691</v>
      </c>
      <c r="BD45" s="3" t="s">
        <v>2468</v>
      </c>
      <c r="BE45" s="3" t="s">
        <v>691</v>
      </c>
      <c r="BF45" s="3" t="s">
        <v>1997</v>
      </c>
      <c r="BG45" s="3" t="s">
        <v>1997</v>
      </c>
      <c r="BH45" s="3" t="s">
        <v>2469</v>
      </c>
      <c r="BI45" s="3" t="s">
        <v>1493</v>
      </c>
      <c r="BJ45" s="3" t="s">
        <v>1493</v>
      </c>
      <c r="BK45" s="3" t="s">
        <v>1493</v>
      </c>
      <c r="BL45" s="3" t="s">
        <v>1493</v>
      </c>
      <c r="BM45" s="3" t="s">
        <v>2470</v>
      </c>
      <c r="BN45" s="3" t="s">
        <v>1493</v>
      </c>
      <c r="BO45" s="3" t="s">
        <v>799</v>
      </c>
      <c r="BP45" s="3" t="s">
        <v>701</v>
      </c>
      <c r="BQ45" s="3" t="s">
        <v>2279</v>
      </c>
      <c r="BR45" s="3" t="s">
        <v>2034</v>
      </c>
      <c r="BS45" s="3" t="s">
        <v>441</v>
      </c>
      <c r="BT45" s="3" t="s">
        <v>2471</v>
      </c>
      <c r="BU45" s="3" t="s">
        <v>680</v>
      </c>
      <c r="BV45" s="3" t="s">
        <v>666</v>
      </c>
      <c r="BW45" s="3" t="s">
        <v>705</v>
      </c>
      <c r="BX45" s="3" t="s">
        <v>2472</v>
      </c>
      <c r="BY45" s="3" t="s">
        <v>2473</v>
      </c>
      <c r="BZ45" s="3" t="s">
        <v>2474</v>
      </c>
      <c r="CA45" s="3" t="s">
        <v>442</v>
      </c>
      <c r="CB45" s="3" t="s">
        <v>2039</v>
      </c>
      <c r="CC45" s="3" t="s">
        <v>1239</v>
      </c>
      <c r="CD45"/>
    </row>
    <row r="46" spans="1:82" ht="129.25" customHeight="1">
      <c r="A46" s="3" t="s">
        <v>443</v>
      </c>
      <c r="B46" s="3" t="s">
        <v>2475</v>
      </c>
      <c r="C46" s="3" t="s">
        <v>2476</v>
      </c>
      <c r="D46" s="3" t="s">
        <v>2477</v>
      </c>
      <c r="E46" s="3" t="s">
        <v>2374</v>
      </c>
      <c r="F46" s="3" t="s">
        <v>445</v>
      </c>
      <c r="G46" s="3" t="s">
        <v>2478</v>
      </c>
      <c r="H46" s="3" t="s">
        <v>2479</v>
      </c>
      <c r="I46" s="3" t="s">
        <v>654</v>
      </c>
      <c r="J46" s="3" t="s">
        <v>655</v>
      </c>
      <c r="K46" s="3" t="s">
        <v>447</v>
      </c>
      <c r="L46" s="3" t="s">
        <v>656</v>
      </c>
      <c r="M46" s="3" t="s">
        <v>2480</v>
      </c>
      <c r="N46" s="3" t="s">
        <v>446</v>
      </c>
      <c r="O46" s="3" t="s">
        <v>2481</v>
      </c>
      <c r="P46" s="3" t="s">
        <v>2482</v>
      </c>
      <c r="Q46" s="3" t="s">
        <v>660</v>
      </c>
      <c r="R46" s="3" t="s">
        <v>2483</v>
      </c>
      <c r="S46" s="3" t="s">
        <v>1493</v>
      </c>
      <c r="T46" s="3" t="s">
        <v>2484</v>
      </c>
      <c r="U46" s="3" t="s">
        <v>669</v>
      </c>
      <c r="V46" s="3" t="s">
        <v>2485</v>
      </c>
      <c r="W46" s="3" t="s">
        <v>725</v>
      </c>
      <c r="X46" s="3" t="s">
        <v>449</v>
      </c>
      <c r="Y46" s="3" t="s">
        <v>2486</v>
      </c>
      <c r="Z46" s="3" t="s">
        <v>2487</v>
      </c>
      <c r="AA46" s="3" t="s">
        <v>2488</v>
      </c>
      <c r="AB46" s="3" t="s">
        <v>1493</v>
      </c>
      <c r="AC46" s="3" t="s">
        <v>2489</v>
      </c>
      <c r="AD46" s="3" t="s">
        <v>1493</v>
      </c>
      <c r="AE46" s="3" t="s">
        <v>2490</v>
      </c>
      <c r="AF46" s="3" t="s">
        <v>1493</v>
      </c>
      <c r="AG46" s="3" t="s">
        <v>666</v>
      </c>
      <c r="AH46" s="3" t="s">
        <v>2491</v>
      </c>
      <c r="AI46" s="3" t="s">
        <v>2492</v>
      </c>
      <c r="AJ46" s="3" t="s">
        <v>2493</v>
      </c>
      <c r="AK46" s="3" t="s">
        <v>55</v>
      </c>
      <c r="AL46" s="3" t="s">
        <v>666</v>
      </c>
      <c r="AM46" s="3" t="s">
        <v>666</v>
      </c>
      <c r="AN46" s="3" t="s">
        <v>1493</v>
      </c>
      <c r="AO46" s="3" t="s">
        <v>2494</v>
      </c>
      <c r="AP46" s="3" t="s">
        <v>2495</v>
      </c>
      <c r="AQ46" s="3" t="s">
        <v>2496</v>
      </c>
      <c r="AR46" s="3" t="s">
        <v>2497</v>
      </c>
      <c r="AS46" s="3" t="s">
        <v>669</v>
      </c>
      <c r="AT46" s="3" t="s">
        <v>2498</v>
      </c>
      <c r="AU46" s="3" t="s">
        <v>2499</v>
      </c>
      <c r="AV46" s="3" t="s">
        <v>2500</v>
      </c>
      <c r="AW46" s="3" t="s">
        <v>2501</v>
      </c>
      <c r="AX46" s="3" t="s">
        <v>2502</v>
      </c>
      <c r="AY46" s="3" t="s">
        <v>687</v>
      </c>
      <c r="AZ46" s="3" t="s">
        <v>2503</v>
      </c>
      <c r="BA46" s="3" t="s">
        <v>2504</v>
      </c>
      <c r="BB46" s="3" t="s">
        <v>690</v>
      </c>
      <c r="BC46" s="3" t="s">
        <v>691</v>
      </c>
      <c r="BD46" s="3" t="s">
        <v>690</v>
      </c>
      <c r="BE46" s="3" t="s">
        <v>691</v>
      </c>
      <c r="BF46" s="3" t="s">
        <v>1997</v>
      </c>
      <c r="BG46" s="3" t="s">
        <v>1997</v>
      </c>
      <c r="BH46" s="3" t="s">
        <v>2505</v>
      </c>
      <c r="BI46" s="3" t="s">
        <v>2506</v>
      </c>
      <c r="BJ46" s="3" t="s">
        <v>666</v>
      </c>
      <c r="BK46" s="3" t="s">
        <v>2507</v>
      </c>
      <c r="BL46" s="3" t="s">
        <v>1493</v>
      </c>
      <c r="BM46" s="3" t="s">
        <v>2508</v>
      </c>
      <c r="BN46" s="3" t="s">
        <v>1493</v>
      </c>
      <c r="BO46" s="3" t="s">
        <v>799</v>
      </c>
      <c r="BP46" s="3" t="s">
        <v>701</v>
      </c>
      <c r="BQ46" s="3" t="s">
        <v>666</v>
      </c>
      <c r="BR46" s="3" t="s">
        <v>2034</v>
      </c>
      <c r="BS46" s="3" t="s">
        <v>2509</v>
      </c>
      <c r="BT46" s="3" t="s">
        <v>2510</v>
      </c>
      <c r="BU46" s="3" t="s">
        <v>2511</v>
      </c>
      <c r="BV46" s="3" t="s">
        <v>680</v>
      </c>
      <c r="BW46" s="3" t="s">
        <v>705</v>
      </c>
      <c r="BX46" s="3" t="s">
        <v>2003</v>
      </c>
      <c r="BY46" s="3" t="s">
        <v>2512</v>
      </c>
      <c r="BZ46" s="3" t="s">
        <v>2513</v>
      </c>
      <c r="CA46" s="3" t="s">
        <v>452</v>
      </c>
      <c r="CB46" s="3" t="s">
        <v>2039</v>
      </c>
      <c r="CC46" s="3" t="s">
        <v>9</v>
      </c>
      <c r="CD46"/>
    </row>
    <row r="47" spans="1:82" ht="148" customHeight="1">
      <c r="A47" s="3" t="s">
        <v>453</v>
      </c>
      <c r="B47" s="3" t="s">
        <v>2514</v>
      </c>
      <c r="C47" s="3" t="s">
        <v>2515</v>
      </c>
      <c r="D47" s="3" t="s">
        <v>2516</v>
      </c>
      <c r="E47" s="3" t="s">
        <v>2374</v>
      </c>
      <c r="F47" s="3" t="s">
        <v>455</v>
      </c>
      <c r="G47" s="3" t="s">
        <v>1938</v>
      </c>
      <c r="H47" s="3" t="s">
        <v>2517</v>
      </c>
      <c r="I47" s="3" t="s">
        <v>654</v>
      </c>
      <c r="J47" s="3" t="s">
        <v>655</v>
      </c>
      <c r="K47" s="3" t="s">
        <v>457</v>
      </c>
      <c r="L47" s="3" t="s">
        <v>656</v>
      </c>
      <c r="M47" s="3" t="s">
        <v>2518</v>
      </c>
      <c r="N47" s="3" t="s">
        <v>456</v>
      </c>
      <c r="O47" s="3" t="s">
        <v>2519</v>
      </c>
      <c r="P47" s="3" t="s">
        <v>2520</v>
      </c>
      <c r="Q47" s="3" t="s">
        <v>660</v>
      </c>
      <c r="R47" s="3" t="s">
        <v>1297</v>
      </c>
      <c r="S47" s="3" t="s">
        <v>2521</v>
      </c>
      <c r="T47" s="3" t="s">
        <v>2522</v>
      </c>
      <c r="U47" s="3" t="s">
        <v>2523</v>
      </c>
      <c r="V47" s="3" t="s">
        <v>2524</v>
      </c>
      <c r="W47" s="3" t="s">
        <v>2525</v>
      </c>
      <c r="X47" s="3" t="s">
        <v>459</v>
      </c>
      <c r="Y47" s="3" t="s">
        <v>1674</v>
      </c>
      <c r="Z47" s="3" t="s">
        <v>2526</v>
      </c>
      <c r="AA47" s="3" t="s">
        <v>1493</v>
      </c>
      <c r="AB47" s="3" t="s">
        <v>1493</v>
      </c>
      <c r="AC47" s="3" t="s">
        <v>1493</v>
      </c>
      <c r="AD47" s="3" t="s">
        <v>2527</v>
      </c>
      <c r="AE47" s="3" t="s">
        <v>728</v>
      </c>
      <c r="AF47" s="3" t="s">
        <v>1493</v>
      </c>
      <c r="AG47" s="3" t="s">
        <v>666</v>
      </c>
      <c r="AH47" s="3" t="s">
        <v>2528</v>
      </c>
      <c r="AI47" s="3" t="s">
        <v>1674</v>
      </c>
      <c r="AJ47" s="3" t="s">
        <v>1124</v>
      </c>
      <c r="AK47" s="3" t="s">
        <v>55</v>
      </c>
      <c r="AL47" s="3" t="s">
        <v>2529</v>
      </c>
      <c r="AM47" s="3" t="s">
        <v>666</v>
      </c>
      <c r="AN47" s="3" t="s">
        <v>1493</v>
      </c>
      <c r="AO47" s="3" t="s">
        <v>2530</v>
      </c>
      <c r="AP47" s="3" t="s">
        <v>679</v>
      </c>
      <c r="AQ47" s="3" t="s">
        <v>2531</v>
      </c>
      <c r="AR47" s="3" t="s">
        <v>2532</v>
      </c>
      <c r="AS47" s="3" t="s">
        <v>2533</v>
      </c>
      <c r="AT47" s="3" t="s">
        <v>666</v>
      </c>
      <c r="AU47" s="3" t="s">
        <v>2534</v>
      </c>
      <c r="AV47" s="3" t="s">
        <v>2535</v>
      </c>
      <c r="AW47" s="3" t="s">
        <v>690</v>
      </c>
      <c r="AX47" s="3" t="s">
        <v>790</v>
      </c>
      <c r="AY47" s="3" t="s">
        <v>691</v>
      </c>
      <c r="AZ47" s="3" t="s">
        <v>790</v>
      </c>
      <c r="BA47" s="3" t="s">
        <v>790</v>
      </c>
      <c r="BB47" s="3" t="s">
        <v>690</v>
      </c>
      <c r="BC47" s="3" t="s">
        <v>691</v>
      </c>
      <c r="BD47" s="3" t="s">
        <v>2536</v>
      </c>
      <c r="BE47" s="3" t="s">
        <v>691</v>
      </c>
      <c r="BF47" s="3" t="s">
        <v>2537</v>
      </c>
      <c r="BG47" s="3" t="s">
        <v>2538</v>
      </c>
      <c r="BH47" s="3" t="s">
        <v>2539</v>
      </c>
      <c r="BI47" s="3" t="s">
        <v>2540</v>
      </c>
      <c r="BJ47" s="3" t="s">
        <v>2541</v>
      </c>
      <c r="BK47" s="3" t="s">
        <v>2542</v>
      </c>
      <c r="BL47" s="3" t="s">
        <v>2543</v>
      </c>
      <c r="BM47" s="3" t="s">
        <v>2544</v>
      </c>
      <c r="BN47" s="3" t="s">
        <v>1493</v>
      </c>
      <c r="BO47" s="3" t="s">
        <v>799</v>
      </c>
      <c r="BP47" s="3" t="s">
        <v>701</v>
      </c>
      <c r="BQ47" s="3" t="s">
        <v>666</v>
      </c>
      <c r="BR47" s="3" t="s">
        <v>2034</v>
      </c>
      <c r="BS47" s="3" t="s">
        <v>2545</v>
      </c>
      <c r="BT47" s="3" t="s">
        <v>2546</v>
      </c>
      <c r="BU47" s="3" t="s">
        <v>2547</v>
      </c>
      <c r="BV47" s="3" t="s">
        <v>680</v>
      </c>
      <c r="BW47" s="3" t="s">
        <v>1832</v>
      </c>
      <c r="BX47" s="3" t="s">
        <v>2003</v>
      </c>
      <c r="BY47" s="3" t="s">
        <v>2548</v>
      </c>
      <c r="BZ47" s="3" t="s">
        <v>2549</v>
      </c>
      <c r="CA47" s="3" t="s">
        <v>462</v>
      </c>
      <c r="CB47" s="3" t="s">
        <v>2039</v>
      </c>
      <c r="CC47" s="3" t="s">
        <v>12</v>
      </c>
      <c r="CD47"/>
    </row>
    <row r="48" spans="1:82" ht="142.75" customHeight="1">
      <c r="A48" s="3" t="s">
        <v>463</v>
      </c>
      <c r="B48" s="3" t="s">
        <v>2550</v>
      </c>
      <c r="C48" s="3" t="s">
        <v>2551</v>
      </c>
      <c r="D48" s="3" t="s">
        <v>2552</v>
      </c>
      <c r="E48" s="3" t="s">
        <v>2553</v>
      </c>
      <c r="F48" s="3" t="s">
        <v>465</v>
      </c>
      <c r="G48" s="3" t="s">
        <v>1027</v>
      </c>
      <c r="H48" s="3" t="s">
        <v>2554</v>
      </c>
      <c r="I48" s="3" t="s">
        <v>654</v>
      </c>
      <c r="J48" s="3" t="s">
        <v>655</v>
      </c>
      <c r="K48" s="3" t="s">
        <v>467</v>
      </c>
      <c r="L48" s="3" t="s">
        <v>656</v>
      </c>
      <c r="M48" s="3" t="s">
        <v>2555</v>
      </c>
      <c r="N48" s="3" t="s">
        <v>466</v>
      </c>
      <c r="O48" s="3" t="s">
        <v>2556</v>
      </c>
      <c r="P48" s="3" t="s">
        <v>2557</v>
      </c>
      <c r="Q48" s="3" t="s">
        <v>660</v>
      </c>
      <c r="R48" s="3" t="s">
        <v>2558</v>
      </c>
      <c r="S48" s="3" t="s">
        <v>1493</v>
      </c>
      <c r="T48" s="3" t="s">
        <v>2559</v>
      </c>
      <c r="U48" s="3" t="s">
        <v>2560</v>
      </c>
      <c r="V48" s="3" t="s">
        <v>2561</v>
      </c>
      <c r="W48" s="3" t="s">
        <v>2562</v>
      </c>
      <c r="X48" s="3" t="s">
        <v>469</v>
      </c>
      <c r="Y48" s="3" t="s">
        <v>2563</v>
      </c>
      <c r="Z48" s="3" t="s">
        <v>2564</v>
      </c>
      <c r="AA48" s="3" t="s">
        <v>1493</v>
      </c>
      <c r="AB48" s="3" t="s">
        <v>1493</v>
      </c>
      <c r="AC48" s="3" t="s">
        <v>1493</v>
      </c>
      <c r="AD48" s="3" t="s">
        <v>1493</v>
      </c>
      <c r="AE48" s="3" t="s">
        <v>728</v>
      </c>
      <c r="AF48" s="3" t="s">
        <v>2565</v>
      </c>
      <c r="AG48" s="3" t="s">
        <v>666</v>
      </c>
      <c r="AH48" s="3" t="s">
        <v>2566</v>
      </c>
      <c r="AI48" s="3" t="s">
        <v>2563</v>
      </c>
      <c r="AJ48" s="3" t="s">
        <v>2567</v>
      </c>
      <c r="AK48" s="3" t="s">
        <v>67</v>
      </c>
      <c r="AL48" s="3" t="s">
        <v>2568</v>
      </c>
      <c r="AM48" s="3" t="s">
        <v>666</v>
      </c>
      <c r="AN48" s="3" t="s">
        <v>2569</v>
      </c>
      <c r="AO48" s="3" t="s">
        <v>2570</v>
      </c>
      <c r="AP48" s="3" t="s">
        <v>679</v>
      </c>
      <c r="AQ48" s="3" t="s">
        <v>2571</v>
      </c>
      <c r="AR48" s="3" t="s">
        <v>2572</v>
      </c>
      <c r="AS48" s="3" t="s">
        <v>2573</v>
      </c>
      <c r="AT48" s="3" t="s">
        <v>666</v>
      </c>
      <c r="AU48" s="3" t="s">
        <v>2574</v>
      </c>
      <c r="AV48" s="3" t="s">
        <v>2575</v>
      </c>
      <c r="AW48" s="3" t="s">
        <v>690</v>
      </c>
      <c r="AX48" s="3" t="s">
        <v>790</v>
      </c>
      <c r="AY48" s="3" t="s">
        <v>691</v>
      </c>
      <c r="AZ48" s="3" t="s">
        <v>790</v>
      </c>
      <c r="BA48" s="3" t="s">
        <v>790</v>
      </c>
      <c r="BB48" s="3" t="s">
        <v>690</v>
      </c>
      <c r="BC48" s="3" t="s">
        <v>691</v>
      </c>
      <c r="BD48" s="3" t="s">
        <v>2576</v>
      </c>
      <c r="BE48" s="3" t="s">
        <v>691</v>
      </c>
      <c r="BF48" s="3" t="s">
        <v>1997</v>
      </c>
      <c r="BG48" s="3" t="s">
        <v>1997</v>
      </c>
      <c r="BH48" s="3" t="s">
        <v>1998</v>
      </c>
      <c r="BI48" s="3" t="s">
        <v>1999</v>
      </c>
      <c r="BJ48" s="3" t="s">
        <v>1999</v>
      </c>
      <c r="BK48" s="3" t="s">
        <v>1999</v>
      </c>
      <c r="BL48" s="3" t="s">
        <v>1999</v>
      </c>
      <c r="BM48" s="3" t="s">
        <v>1999</v>
      </c>
      <c r="BN48" s="3" t="s">
        <v>1999</v>
      </c>
      <c r="BO48" s="3" t="s">
        <v>799</v>
      </c>
      <c r="BP48" s="3" t="s">
        <v>701</v>
      </c>
      <c r="BQ48" s="3" t="s">
        <v>666</v>
      </c>
      <c r="BR48" s="3" t="s">
        <v>2034</v>
      </c>
      <c r="BS48" s="3" t="s">
        <v>2577</v>
      </c>
      <c r="BT48" s="3" t="s">
        <v>2578</v>
      </c>
      <c r="BU48" s="3" t="s">
        <v>2579</v>
      </c>
      <c r="BV48" s="3" t="s">
        <v>680</v>
      </c>
      <c r="BW48" s="3" t="s">
        <v>2580</v>
      </c>
      <c r="BX48" s="3" t="s">
        <v>2581</v>
      </c>
      <c r="BY48" s="3" t="s">
        <v>2582</v>
      </c>
      <c r="BZ48" s="3" t="s">
        <v>2583</v>
      </c>
      <c r="CA48" s="3" t="s">
        <v>471</v>
      </c>
      <c r="CB48" s="3" t="s">
        <v>2584</v>
      </c>
      <c r="CC48" s="3" t="s">
        <v>1239</v>
      </c>
      <c r="CD48"/>
    </row>
    <row r="49" spans="1:82" ht="130.75" customHeight="1">
      <c r="A49" s="3" t="s">
        <v>472</v>
      </c>
      <c r="B49" s="3" t="s">
        <v>2585</v>
      </c>
      <c r="C49" s="3" t="s">
        <v>2586</v>
      </c>
      <c r="D49" s="3" t="s">
        <v>2587</v>
      </c>
      <c r="E49" s="3" t="s">
        <v>2553</v>
      </c>
      <c r="F49" s="3" t="s">
        <v>473</v>
      </c>
      <c r="G49" s="3" t="s">
        <v>1366</v>
      </c>
      <c r="H49" s="3" t="s">
        <v>2588</v>
      </c>
      <c r="I49" s="3" t="s">
        <v>654</v>
      </c>
      <c r="J49" s="3" t="s">
        <v>655</v>
      </c>
      <c r="K49" s="3" t="s">
        <v>475</v>
      </c>
      <c r="L49" s="3" t="s">
        <v>656</v>
      </c>
      <c r="M49" s="3" t="s">
        <v>2589</v>
      </c>
      <c r="N49" s="3" t="s">
        <v>474</v>
      </c>
      <c r="O49" s="3" t="s">
        <v>1368</v>
      </c>
      <c r="P49" s="3" t="s">
        <v>2590</v>
      </c>
      <c r="Q49" s="3" t="s">
        <v>861</v>
      </c>
      <c r="R49" s="3" t="s">
        <v>1079</v>
      </c>
      <c r="S49" s="3" t="s">
        <v>863</v>
      </c>
      <c r="T49" s="3" t="s">
        <v>2591</v>
      </c>
      <c r="U49" s="3" t="s">
        <v>2592</v>
      </c>
      <c r="V49" s="3" t="s">
        <v>2333</v>
      </c>
      <c r="W49" s="3" t="s">
        <v>680</v>
      </c>
      <c r="X49" s="3" t="s">
        <v>155</v>
      </c>
      <c r="Y49" s="3" t="s">
        <v>2593</v>
      </c>
      <c r="Z49" s="3" t="s">
        <v>1084</v>
      </c>
      <c r="AA49" s="3" t="s">
        <v>1493</v>
      </c>
      <c r="AB49" s="3" t="s">
        <v>1493</v>
      </c>
      <c r="AC49" s="3" t="s">
        <v>1493</v>
      </c>
      <c r="AD49" s="3" t="s">
        <v>2594</v>
      </c>
      <c r="AE49" s="3" t="s">
        <v>728</v>
      </c>
      <c r="AF49" s="3" t="s">
        <v>2595</v>
      </c>
      <c r="AG49" s="3" t="s">
        <v>666</v>
      </c>
      <c r="AH49" s="3" t="s">
        <v>2596</v>
      </c>
      <c r="AI49" s="3" t="s">
        <v>2597</v>
      </c>
      <c r="AJ49" s="3" t="s">
        <v>2598</v>
      </c>
      <c r="AK49" s="3" t="s">
        <v>2599</v>
      </c>
      <c r="AL49" s="3" t="s">
        <v>2600</v>
      </c>
      <c r="AM49" s="3" t="s">
        <v>666</v>
      </c>
      <c r="AN49" s="3" t="s">
        <v>2601</v>
      </c>
      <c r="AO49" s="3" t="s">
        <v>2602</v>
      </c>
      <c r="AP49" s="3" t="s">
        <v>2603</v>
      </c>
      <c r="AQ49" s="3" t="s">
        <v>734</v>
      </c>
      <c r="AR49" s="3" t="s">
        <v>734</v>
      </c>
      <c r="AS49" s="3" t="s">
        <v>734</v>
      </c>
      <c r="AT49" s="3" t="s">
        <v>734</v>
      </c>
      <c r="AU49" s="3" t="s">
        <v>734</v>
      </c>
      <c r="AV49" s="3" t="s">
        <v>2604</v>
      </c>
      <c r="AW49" s="3" t="s">
        <v>2605</v>
      </c>
      <c r="AX49" s="3" t="s">
        <v>2606</v>
      </c>
      <c r="AY49" s="3" t="s">
        <v>687</v>
      </c>
      <c r="AZ49" s="3" t="s">
        <v>666</v>
      </c>
      <c r="BA49" s="3" t="s">
        <v>2607</v>
      </c>
      <c r="BB49" s="3" t="s">
        <v>690</v>
      </c>
      <c r="BC49" s="3" t="s">
        <v>691</v>
      </c>
      <c r="BD49" s="3" t="s">
        <v>690</v>
      </c>
      <c r="BE49" s="3" t="s">
        <v>691</v>
      </c>
      <c r="BF49" s="3" t="s">
        <v>1997</v>
      </c>
      <c r="BG49" s="3" t="s">
        <v>1997</v>
      </c>
      <c r="BH49" s="3" t="s">
        <v>2608</v>
      </c>
      <c r="BI49" s="3" t="s">
        <v>2609</v>
      </c>
      <c r="BJ49" s="3" t="s">
        <v>666</v>
      </c>
      <c r="BK49" s="3" t="s">
        <v>2610</v>
      </c>
      <c r="BL49" s="3" t="s">
        <v>2611</v>
      </c>
      <c r="BM49" s="3" t="s">
        <v>2612</v>
      </c>
      <c r="BN49" s="3" t="s">
        <v>2613</v>
      </c>
      <c r="BO49" s="3" t="s">
        <v>2614</v>
      </c>
      <c r="BP49" s="3" t="s">
        <v>701</v>
      </c>
      <c r="BQ49" s="3" t="s">
        <v>666</v>
      </c>
      <c r="BR49" s="3" t="s">
        <v>2034</v>
      </c>
      <c r="BS49" s="3" t="s">
        <v>703</v>
      </c>
      <c r="BT49" s="3" t="s">
        <v>2615</v>
      </c>
      <c r="BU49" s="3" t="s">
        <v>666</v>
      </c>
      <c r="BV49" s="3" t="s">
        <v>680</v>
      </c>
      <c r="BW49" s="3" t="s">
        <v>1832</v>
      </c>
      <c r="BX49" s="3" t="s">
        <v>2616</v>
      </c>
      <c r="BY49" s="3" t="s">
        <v>2617</v>
      </c>
      <c r="BZ49" s="3" t="s">
        <v>2618</v>
      </c>
      <c r="CA49" s="3" t="s">
        <v>479</v>
      </c>
      <c r="CB49" s="3" t="s">
        <v>2619</v>
      </c>
      <c r="CC49" s="3" t="s">
        <v>2620</v>
      </c>
      <c r="CD49"/>
    </row>
    <row r="50" spans="1:82" ht="108" customHeight="1">
      <c r="A50" s="3" t="s">
        <v>480</v>
      </c>
      <c r="B50" s="3" t="s">
        <v>2621</v>
      </c>
      <c r="C50" s="3" t="s">
        <v>2622</v>
      </c>
      <c r="D50" s="3" t="s">
        <v>2623</v>
      </c>
      <c r="E50" s="3" t="s">
        <v>2553</v>
      </c>
      <c r="F50" s="3" t="s">
        <v>482</v>
      </c>
      <c r="G50" s="3" t="s">
        <v>2010</v>
      </c>
      <c r="H50" s="3" t="s">
        <v>2624</v>
      </c>
      <c r="I50" s="3" t="s">
        <v>654</v>
      </c>
      <c r="J50" s="3" t="s">
        <v>655</v>
      </c>
      <c r="K50" s="3" t="s">
        <v>93</v>
      </c>
      <c r="L50" s="3" t="s">
        <v>2625</v>
      </c>
      <c r="M50" s="3" t="s">
        <v>2626</v>
      </c>
      <c r="N50" s="3" t="s">
        <v>483</v>
      </c>
      <c r="O50" s="3" t="s">
        <v>2627</v>
      </c>
      <c r="P50" s="3" t="s">
        <v>2628</v>
      </c>
      <c r="Q50" s="3" t="s">
        <v>861</v>
      </c>
      <c r="R50" s="3" t="s">
        <v>2629</v>
      </c>
      <c r="S50" s="3" t="s">
        <v>863</v>
      </c>
      <c r="T50" s="3" t="s">
        <v>2630</v>
      </c>
      <c r="U50" s="3" t="s">
        <v>669</v>
      </c>
      <c r="V50" s="3" t="s">
        <v>2333</v>
      </c>
      <c r="W50" s="3" t="s">
        <v>680</v>
      </c>
      <c r="X50" s="3" t="s">
        <v>137</v>
      </c>
      <c r="Y50" s="3" t="s">
        <v>2631</v>
      </c>
      <c r="Z50" s="3" t="s">
        <v>2632</v>
      </c>
      <c r="AA50" s="3" t="s">
        <v>1493</v>
      </c>
      <c r="AB50" s="3" t="s">
        <v>1493</v>
      </c>
      <c r="AC50" s="3" t="s">
        <v>1493</v>
      </c>
      <c r="AD50" s="3" t="s">
        <v>1493</v>
      </c>
      <c r="AE50" s="3" t="s">
        <v>1493</v>
      </c>
      <c r="AF50" s="3" t="s">
        <v>2633</v>
      </c>
      <c r="AG50" s="3" t="s">
        <v>666</v>
      </c>
      <c r="AH50" s="3" t="s">
        <v>2634</v>
      </c>
      <c r="AI50" s="3" t="s">
        <v>2631</v>
      </c>
      <c r="AJ50" s="3" t="s">
        <v>2635</v>
      </c>
      <c r="AK50" s="3" t="s">
        <v>67</v>
      </c>
      <c r="AL50" s="3" t="s">
        <v>666</v>
      </c>
      <c r="AM50" s="3" t="s">
        <v>666</v>
      </c>
      <c r="AN50" s="3" t="s">
        <v>1493</v>
      </c>
      <c r="AO50" s="3" t="s">
        <v>2636</v>
      </c>
      <c r="AP50" s="3" t="s">
        <v>2637</v>
      </c>
      <c r="AQ50" s="3" t="s">
        <v>2638</v>
      </c>
      <c r="AR50" s="3" t="s">
        <v>734</v>
      </c>
      <c r="AS50" s="3" t="s">
        <v>734</v>
      </c>
      <c r="AT50" s="3" t="s">
        <v>734</v>
      </c>
      <c r="AU50" s="3" t="s">
        <v>734</v>
      </c>
      <c r="AV50" s="3" t="s">
        <v>2639</v>
      </c>
      <c r="AW50" s="3" t="s">
        <v>2640</v>
      </c>
      <c r="AX50" s="3" t="s">
        <v>1493</v>
      </c>
      <c r="AY50" s="3" t="s">
        <v>2641</v>
      </c>
      <c r="AZ50" s="3" t="s">
        <v>680</v>
      </c>
      <c r="BA50" s="3" t="s">
        <v>2642</v>
      </c>
      <c r="BB50" s="3" t="s">
        <v>690</v>
      </c>
      <c r="BC50" s="3" t="s">
        <v>691</v>
      </c>
      <c r="BD50" s="3" t="s">
        <v>690</v>
      </c>
      <c r="BE50" s="3" t="s">
        <v>691</v>
      </c>
      <c r="BF50" s="3" t="s">
        <v>1997</v>
      </c>
      <c r="BG50" s="3" t="s">
        <v>1997</v>
      </c>
      <c r="BH50" s="3" t="s">
        <v>2643</v>
      </c>
      <c r="BI50" s="3" t="s">
        <v>2644</v>
      </c>
      <c r="BJ50" s="3" t="s">
        <v>680</v>
      </c>
      <c r="BK50" s="3" t="s">
        <v>2645</v>
      </c>
      <c r="BL50" s="3" t="s">
        <v>2646</v>
      </c>
      <c r="BM50" s="3" t="s">
        <v>2647</v>
      </c>
      <c r="BN50" s="3" t="s">
        <v>1493</v>
      </c>
      <c r="BO50" s="3" t="s">
        <v>2648</v>
      </c>
      <c r="BP50" s="3" t="s">
        <v>2649</v>
      </c>
      <c r="BQ50" s="3" t="s">
        <v>666</v>
      </c>
      <c r="BR50" s="3" t="s">
        <v>2650</v>
      </c>
      <c r="BS50" s="3" t="s">
        <v>2641</v>
      </c>
      <c r="BT50" s="3" t="s">
        <v>2651</v>
      </c>
      <c r="BU50" s="3" t="s">
        <v>2652</v>
      </c>
      <c r="BV50" s="3" t="s">
        <v>680</v>
      </c>
      <c r="BW50" s="3" t="s">
        <v>705</v>
      </c>
      <c r="BX50" s="3" t="s">
        <v>2653</v>
      </c>
      <c r="BY50" s="3" t="s">
        <v>2654</v>
      </c>
      <c r="BZ50" s="3" t="s">
        <v>2655</v>
      </c>
      <c r="CA50" s="3" t="s">
        <v>487</v>
      </c>
      <c r="CB50" s="3" t="s">
        <v>2039</v>
      </c>
      <c r="CC50" s="3" t="s">
        <v>17</v>
      </c>
      <c r="CD50"/>
    </row>
    <row r="51" spans="1:82" ht="140" customHeight="1">
      <c r="A51" s="3" t="s">
        <v>488</v>
      </c>
      <c r="B51" s="3" t="s">
        <v>2656</v>
      </c>
      <c r="C51" s="3" t="s">
        <v>2657</v>
      </c>
      <c r="D51" s="3" t="s">
        <v>2658</v>
      </c>
      <c r="E51" s="3" t="s">
        <v>854</v>
      </c>
      <c r="F51" s="3" t="s">
        <v>490</v>
      </c>
      <c r="G51" s="3" t="s">
        <v>1200</v>
      </c>
      <c r="H51" s="3" t="s">
        <v>2659</v>
      </c>
      <c r="I51" s="3" t="s">
        <v>654</v>
      </c>
      <c r="J51" s="3" t="s">
        <v>655</v>
      </c>
      <c r="K51" s="3" t="s">
        <v>84</v>
      </c>
      <c r="L51" s="3" t="s">
        <v>2660</v>
      </c>
      <c r="M51" s="3" t="s">
        <v>2661</v>
      </c>
      <c r="N51" s="3" t="s">
        <v>491</v>
      </c>
      <c r="O51" s="3" t="s">
        <v>2662</v>
      </c>
      <c r="P51" s="3" t="s">
        <v>2663</v>
      </c>
      <c r="Q51" s="3" t="s">
        <v>2664</v>
      </c>
      <c r="R51" s="3" t="s">
        <v>2665</v>
      </c>
      <c r="S51" s="3" t="s">
        <v>2666</v>
      </c>
      <c r="T51" s="3" t="s">
        <v>2667</v>
      </c>
      <c r="U51" s="3" t="s">
        <v>2668</v>
      </c>
      <c r="V51" s="3" t="s">
        <v>2669</v>
      </c>
      <c r="W51" s="3" t="s">
        <v>725</v>
      </c>
      <c r="X51" s="3" t="s">
        <v>493</v>
      </c>
      <c r="Y51" s="3" t="s">
        <v>2670</v>
      </c>
      <c r="Z51" s="3" t="s">
        <v>2671</v>
      </c>
      <c r="AA51" s="3" t="s">
        <v>2672</v>
      </c>
      <c r="AB51" s="3" t="s">
        <v>2110</v>
      </c>
      <c r="AC51" s="3" t="s">
        <v>2110</v>
      </c>
      <c r="AD51" s="3" t="s">
        <v>2673</v>
      </c>
      <c r="AE51" s="3">
        <v>1</v>
      </c>
      <c r="AF51" s="3" t="s">
        <v>2674</v>
      </c>
      <c r="AG51" s="3" t="s">
        <v>2675</v>
      </c>
      <c r="AH51" s="3" t="s">
        <v>2676</v>
      </c>
      <c r="AI51" s="3" t="s">
        <v>2677</v>
      </c>
      <c r="AJ51" s="3" t="s">
        <v>2678</v>
      </c>
      <c r="AK51" s="3" t="s">
        <v>495</v>
      </c>
      <c r="AL51" s="3" t="s">
        <v>2679</v>
      </c>
      <c r="AM51" s="3" t="s">
        <v>2680</v>
      </c>
      <c r="AN51" s="3" t="s">
        <v>2681</v>
      </c>
      <c r="AO51" s="3" t="s">
        <v>690</v>
      </c>
      <c r="AP51" s="3" t="s">
        <v>691</v>
      </c>
      <c r="AQ51" s="3" t="s">
        <v>734</v>
      </c>
      <c r="AR51" s="3" t="s">
        <v>734</v>
      </c>
      <c r="AS51" s="3" t="s">
        <v>734</v>
      </c>
      <c r="AT51" s="3" t="s">
        <v>734</v>
      </c>
      <c r="AU51" s="3" t="s">
        <v>734</v>
      </c>
      <c r="AV51" s="3" t="s">
        <v>2682</v>
      </c>
      <c r="AW51" s="3" t="s">
        <v>2683</v>
      </c>
      <c r="AX51" s="3" t="s">
        <v>2684</v>
      </c>
      <c r="AY51" s="3" t="s">
        <v>2685</v>
      </c>
      <c r="AZ51" s="3" t="s">
        <v>2686</v>
      </c>
      <c r="BA51" s="3" t="s">
        <v>2687</v>
      </c>
      <c r="BB51" s="3" t="s">
        <v>690</v>
      </c>
      <c r="BC51" s="3" t="s">
        <v>691</v>
      </c>
      <c r="BD51" s="3" t="s">
        <v>690</v>
      </c>
      <c r="BE51" s="3" t="s">
        <v>691</v>
      </c>
      <c r="BF51" s="3" t="s">
        <v>1997</v>
      </c>
      <c r="BG51" s="3" t="s">
        <v>1997</v>
      </c>
      <c r="BH51" s="3" t="s">
        <v>2688</v>
      </c>
      <c r="BI51" s="3" t="s">
        <v>2689</v>
      </c>
      <c r="BJ51" s="3" t="s">
        <v>2690</v>
      </c>
      <c r="BK51" s="3" t="s">
        <v>2691</v>
      </c>
      <c r="BL51" s="3" t="s">
        <v>1493</v>
      </c>
      <c r="BM51" s="3" t="s">
        <v>2692</v>
      </c>
      <c r="BN51" s="3" t="s">
        <v>2693</v>
      </c>
      <c r="BO51" s="3" t="s">
        <v>666</v>
      </c>
      <c r="BP51" s="3" t="s">
        <v>2694</v>
      </c>
      <c r="BQ51" s="3" t="s">
        <v>2695</v>
      </c>
      <c r="BR51" s="3" t="s">
        <v>2696</v>
      </c>
      <c r="BS51" s="3" t="s">
        <v>2697</v>
      </c>
      <c r="BT51" s="3" t="s">
        <v>2698</v>
      </c>
      <c r="BU51" s="3" t="s">
        <v>2699</v>
      </c>
      <c r="BV51" s="3" t="s">
        <v>2700</v>
      </c>
      <c r="BW51" s="3" t="s">
        <v>705</v>
      </c>
      <c r="BX51" s="3" t="s">
        <v>2701</v>
      </c>
      <c r="BY51" s="3" t="s">
        <v>2702</v>
      </c>
      <c r="BZ51" s="3" t="s">
        <v>2703</v>
      </c>
      <c r="CA51" s="3" t="s">
        <v>497</v>
      </c>
      <c r="CB51" s="3" t="s">
        <v>2704</v>
      </c>
      <c r="CC51" s="3" t="s">
        <v>1239</v>
      </c>
      <c r="CD51"/>
    </row>
    <row r="52" spans="1:82" ht="126.75" customHeight="1">
      <c r="A52" s="3" t="s">
        <v>498</v>
      </c>
      <c r="B52" s="3" t="s">
        <v>2705</v>
      </c>
      <c r="C52" s="3" t="s">
        <v>2706</v>
      </c>
      <c r="D52" s="3" t="s">
        <v>2707</v>
      </c>
      <c r="E52" s="3" t="s">
        <v>2553</v>
      </c>
      <c r="F52" s="3" t="s">
        <v>500</v>
      </c>
      <c r="G52" s="3" t="s">
        <v>1027</v>
      </c>
      <c r="H52" s="3" t="s">
        <v>2708</v>
      </c>
      <c r="I52" s="3" t="s">
        <v>654</v>
      </c>
      <c r="J52" s="3" t="s">
        <v>655</v>
      </c>
      <c r="K52" s="3" t="s">
        <v>103</v>
      </c>
      <c r="L52" s="3" t="s">
        <v>2709</v>
      </c>
      <c r="M52" s="3" t="s">
        <v>2710</v>
      </c>
      <c r="N52" s="3" t="s">
        <v>501</v>
      </c>
      <c r="O52" s="3" t="s">
        <v>2711</v>
      </c>
      <c r="P52" s="3" t="s">
        <v>2712</v>
      </c>
      <c r="Q52" s="3" t="s">
        <v>660</v>
      </c>
      <c r="R52" s="3" t="s">
        <v>2713</v>
      </c>
      <c r="S52" s="3" t="s">
        <v>2714</v>
      </c>
      <c r="T52" s="3" t="s">
        <v>2715</v>
      </c>
      <c r="U52" s="3" t="s">
        <v>2716</v>
      </c>
      <c r="V52" s="3" t="s">
        <v>2717</v>
      </c>
      <c r="W52" s="3" t="s">
        <v>867</v>
      </c>
      <c r="X52" s="3" t="s">
        <v>449</v>
      </c>
      <c r="Y52" s="3" t="s">
        <v>2718</v>
      </c>
      <c r="Z52" s="3" t="s">
        <v>2719</v>
      </c>
      <c r="AA52" s="3" t="s">
        <v>669</v>
      </c>
      <c r="AB52" s="3" t="s">
        <v>2720</v>
      </c>
      <c r="AC52" s="3" t="s">
        <v>669</v>
      </c>
      <c r="AD52" s="3" t="s">
        <v>2721</v>
      </c>
      <c r="AE52" s="3" t="s">
        <v>728</v>
      </c>
      <c r="AF52" s="3" t="s">
        <v>2722</v>
      </c>
      <c r="AG52" s="3" t="s">
        <v>666</v>
      </c>
      <c r="AH52" s="3" t="s">
        <v>2723</v>
      </c>
      <c r="AI52" s="3" t="s">
        <v>2724</v>
      </c>
      <c r="AJ52" s="3" t="s">
        <v>1004</v>
      </c>
      <c r="AK52" s="3" t="s">
        <v>55</v>
      </c>
      <c r="AL52" s="3" t="s">
        <v>2725</v>
      </c>
      <c r="AM52" s="3" t="s">
        <v>2726</v>
      </c>
      <c r="AN52" s="3" t="s">
        <v>2727</v>
      </c>
      <c r="AO52" s="3" t="s">
        <v>2728</v>
      </c>
      <c r="AP52" s="3" t="s">
        <v>2729</v>
      </c>
      <c r="AQ52" s="3" t="s">
        <v>2730</v>
      </c>
      <c r="AR52" s="3" t="s">
        <v>2731</v>
      </c>
      <c r="AS52" s="3" t="s">
        <v>2732</v>
      </c>
      <c r="AT52" s="3" t="s">
        <v>2733</v>
      </c>
      <c r="AU52" s="3" t="s">
        <v>2734</v>
      </c>
      <c r="AV52" s="3" t="s">
        <v>2735</v>
      </c>
      <c r="AW52" s="3" t="s">
        <v>2736</v>
      </c>
      <c r="AX52" s="3" t="s">
        <v>2737</v>
      </c>
      <c r="AY52" s="3" t="s">
        <v>2738</v>
      </c>
      <c r="AZ52" s="3" t="s">
        <v>2739</v>
      </c>
      <c r="BA52" s="3" t="s">
        <v>2740</v>
      </c>
      <c r="BB52" s="3" t="s">
        <v>690</v>
      </c>
      <c r="BC52" s="3" t="s">
        <v>691</v>
      </c>
      <c r="BD52" s="3" t="s">
        <v>690</v>
      </c>
      <c r="BE52" s="3" t="s">
        <v>691</v>
      </c>
      <c r="BF52" s="3" t="s">
        <v>690</v>
      </c>
      <c r="BG52" s="3" t="s">
        <v>691</v>
      </c>
      <c r="BH52" s="3" t="s">
        <v>2741</v>
      </c>
      <c r="BI52" s="3" t="s">
        <v>2742</v>
      </c>
      <c r="BJ52" s="3" t="s">
        <v>733</v>
      </c>
      <c r="BK52" s="3" t="s">
        <v>733</v>
      </c>
      <c r="BL52" s="3" t="s">
        <v>2743</v>
      </c>
      <c r="BM52" s="3" t="s">
        <v>2744</v>
      </c>
      <c r="BN52" s="3" t="s">
        <v>733</v>
      </c>
      <c r="BO52" s="3" t="s">
        <v>2745</v>
      </c>
      <c r="BP52" s="3" t="s">
        <v>534</v>
      </c>
      <c r="BQ52" s="3" t="s">
        <v>2746</v>
      </c>
      <c r="BR52" s="3" t="s">
        <v>2747</v>
      </c>
      <c r="BS52" s="3" t="s">
        <v>2748</v>
      </c>
      <c r="BT52" s="3" t="s">
        <v>2749</v>
      </c>
      <c r="BU52" s="3" t="s">
        <v>2750</v>
      </c>
      <c r="BV52" s="3" t="s">
        <v>680</v>
      </c>
      <c r="BW52" s="3" t="s">
        <v>705</v>
      </c>
      <c r="BX52" s="3" t="s">
        <v>2751</v>
      </c>
      <c r="BY52" s="3" t="s">
        <v>2752</v>
      </c>
      <c r="BZ52" s="3" t="s">
        <v>2753</v>
      </c>
      <c r="CA52" s="3" t="s">
        <v>505</v>
      </c>
      <c r="CB52" s="3" t="s">
        <v>2754</v>
      </c>
      <c r="CC52" s="3" t="s">
        <v>1239</v>
      </c>
      <c r="CD52"/>
    </row>
    <row r="53" spans="1:82" ht="124" customHeight="1">
      <c r="A53" s="3" t="s">
        <v>506</v>
      </c>
      <c r="B53" s="3" t="s">
        <v>2755</v>
      </c>
      <c r="C53" s="3" t="s">
        <v>2756</v>
      </c>
      <c r="D53" s="3" t="s">
        <v>2757</v>
      </c>
      <c r="E53" s="3" t="s">
        <v>854</v>
      </c>
      <c r="F53" s="3" t="s">
        <v>508</v>
      </c>
      <c r="G53" s="3" t="s">
        <v>1714</v>
      </c>
      <c r="H53" s="3" t="s">
        <v>2758</v>
      </c>
      <c r="I53" s="3" t="s">
        <v>654</v>
      </c>
      <c r="J53" s="3" t="s">
        <v>655</v>
      </c>
      <c r="K53" s="3" t="s">
        <v>510</v>
      </c>
      <c r="L53" s="3" t="s">
        <v>656</v>
      </c>
      <c r="M53" s="3" t="s">
        <v>2759</v>
      </c>
      <c r="N53" s="3" t="s">
        <v>509</v>
      </c>
      <c r="O53" s="3" t="s">
        <v>2760</v>
      </c>
      <c r="P53" s="3" t="s">
        <v>2761</v>
      </c>
      <c r="Q53" s="3" t="s">
        <v>861</v>
      </c>
      <c r="R53" s="3" t="s">
        <v>1079</v>
      </c>
      <c r="S53" s="3" t="s">
        <v>863</v>
      </c>
      <c r="T53" s="3" t="s">
        <v>2762</v>
      </c>
      <c r="U53" s="3" t="s">
        <v>2763</v>
      </c>
      <c r="V53" s="3" t="s">
        <v>1160</v>
      </c>
      <c r="W53" s="3" t="s">
        <v>867</v>
      </c>
      <c r="X53" s="3" t="s">
        <v>65</v>
      </c>
      <c r="Y53" s="3" t="s">
        <v>2764</v>
      </c>
      <c r="Z53" s="3" t="s">
        <v>2765</v>
      </c>
      <c r="AA53" s="3" t="s">
        <v>2766</v>
      </c>
      <c r="AB53" s="3" t="s">
        <v>2190</v>
      </c>
      <c r="AC53" s="3" t="s">
        <v>1450</v>
      </c>
      <c r="AD53" s="3" t="s">
        <v>2767</v>
      </c>
      <c r="AE53" s="3" t="s">
        <v>728</v>
      </c>
      <c r="AF53" s="3" t="s">
        <v>2768</v>
      </c>
      <c r="AG53" s="3" t="s">
        <v>666</v>
      </c>
      <c r="AH53" s="3" t="s">
        <v>2769</v>
      </c>
      <c r="AI53" s="3" t="s">
        <v>2770</v>
      </c>
      <c r="AJ53" s="3" t="s">
        <v>2771</v>
      </c>
      <c r="AK53" s="3" t="s">
        <v>67</v>
      </c>
      <c r="AL53" s="3" t="s">
        <v>666</v>
      </c>
      <c r="AM53" s="3" t="s">
        <v>666</v>
      </c>
      <c r="AN53" s="3" t="s">
        <v>2772</v>
      </c>
      <c r="AO53" s="3" t="s">
        <v>2773</v>
      </c>
      <c r="AP53" s="3" t="s">
        <v>2774</v>
      </c>
      <c r="AQ53" s="3" t="s">
        <v>666</v>
      </c>
      <c r="AR53" s="3" t="s">
        <v>2775</v>
      </c>
      <c r="AS53" s="3" t="s">
        <v>2776</v>
      </c>
      <c r="AT53" s="3" t="s">
        <v>733</v>
      </c>
      <c r="AU53" s="3" t="s">
        <v>2777</v>
      </c>
      <c r="AV53" s="3" t="s">
        <v>2778</v>
      </c>
      <c r="AW53" s="3" t="s">
        <v>2779</v>
      </c>
      <c r="AX53" s="3" t="s">
        <v>2776</v>
      </c>
      <c r="AY53" s="3" t="s">
        <v>679</v>
      </c>
      <c r="AZ53" s="3" t="s">
        <v>680</v>
      </c>
      <c r="BA53" s="3" t="s">
        <v>2780</v>
      </c>
      <c r="BB53" s="3" t="s">
        <v>690</v>
      </c>
      <c r="BC53" s="3" t="s">
        <v>691</v>
      </c>
      <c r="BD53" s="3" t="s">
        <v>690</v>
      </c>
      <c r="BE53" s="3" t="s">
        <v>691</v>
      </c>
      <c r="BF53" s="3" t="s">
        <v>690</v>
      </c>
      <c r="BG53" s="3" t="s">
        <v>691</v>
      </c>
      <c r="BH53" s="3" t="s">
        <v>2781</v>
      </c>
      <c r="BI53" s="3" t="s">
        <v>2782</v>
      </c>
      <c r="BJ53" s="3" t="s">
        <v>1786</v>
      </c>
      <c r="BK53" s="3" t="s">
        <v>2783</v>
      </c>
      <c r="BL53" s="3" t="s">
        <v>2784</v>
      </c>
      <c r="BM53" s="3" t="s">
        <v>2785</v>
      </c>
      <c r="BN53" s="3" t="s">
        <v>2786</v>
      </c>
      <c r="BO53" s="3" t="s">
        <v>680</v>
      </c>
      <c r="BP53" s="3" t="s">
        <v>2787</v>
      </c>
      <c r="BQ53" s="3" t="s">
        <v>666</v>
      </c>
      <c r="BR53" s="3" t="s">
        <v>2788</v>
      </c>
      <c r="BS53" s="3" t="s">
        <v>766</v>
      </c>
      <c r="BT53" s="3" t="s">
        <v>2789</v>
      </c>
      <c r="BU53" s="3" t="s">
        <v>666</v>
      </c>
      <c r="BV53" s="3" t="s">
        <v>680</v>
      </c>
      <c r="BW53" s="3" t="s">
        <v>705</v>
      </c>
      <c r="BX53" s="3" t="s">
        <v>2790</v>
      </c>
      <c r="BY53" s="3" t="s">
        <v>2791</v>
      </c>
      <c r="BZ53" s="3" t="s">
        <v>2792</v>
      </c>
      <c r="CA53" s="3" t="s">
        <v>514</v>
      </c>
      <c r="CB53" s="3" t="s">
        <v>2793</v>
      </c>
      <c r="CC53" s="3" t="s">
        <v>1289</v>
      </c>
      <c r="CD53"/>
    </row>
    <row r="54" spans="1:82" ht="117.25" customHeight="1">
      <c r="A54" s="3" t="s">
        <v>515</v>
      </c>
      <c r="B54" s="3" t="s">
        <v>2794</v>
      </c>
      <c r="C54" s="3" t="s">
        <v>2795</v>
      </c>
      <c r="D54" s="3" t="s">
        <v>2796</v>
      </c>
      <c r="E54" s="3" t="s">
        <v>810</v>
      </c>
      <c r="F54" s="3" t="s">
        <v>517</v>
      </c>
      <c r="G54" s="3" t="s">
        <v>1366</v>
      </c>
      <c r="H54" s="3" t="s">
        <v>2797</v>
      </c>
      <c r="I54" s="3" t="s">
        <v>654</v>
      </c>
      <c r="J54" s="3" t="s">
        <v>655</v>
      </c>
      <c r="K54" s="3" t="s">
        <v>519</v>
      </c>
      <c r="L54" s="3" t="s">
        <v>656</v>
      </c>
      <c r="M54" s="3" t="s">
        <v>2589</v>
      </c>
      <c r="N54" s="3" t="s">
        <v>518</v>
      </c>
      <c r="O54" s="3" t="s">
        <v>2798</v>
      </c>
      <c r="P54" s="3" t="s">
        <v>1980</v>
      </c>
      <c r="Q54" s="3" t="s">
        <v>660</v>
      </c>
      <c r="R54" s="3" t="s">
        <v>1297</v>
      </c>
      <c r="S54" s="3" t="s">
        <v>2799</v>
      </c>
      <c r="T54" s="3" t="s">
        <v>2800</v>
      </c>
      <c r="U54" s="3" t="s">
        <v>2801</v>
      </c>
      <c r="V54" s="3" t="s">
        <v>2802</v>
      </c>
      <c r="W54" s="3" t="s">
        <v>666</v>
      </c>
      <c r="X54" s="3" t="s">
        <v>65</v>
      </c>
      <c r="Y54" s="3" t="s">
        <v>2803</v>
      </c>
      <c r="Z54" s="3" t="s">
        <v>2804</v>
      </c>
      <c r="AA54" s="3" t="s">
        <v>2805</v>
      </c>
      <c r="AB54" s="3" t="s">
        <v>2806</v>
      </c>
      <c r="AC54" s="3" t="s">
        <v>2807</v>
      </c>
      <c r="AD54" s="3" t="s">
        <v>2808</v>
      </c>
      <c r="AE54" s="3" t="s">
        <v>728</v>
      </c>
      <c r="AF54" s="3" t="s">
        <v>2809</v>
      </c>
      <c r="AG54" s="3" t="s">
        <v>666</v>
      </c>
      <c r="AH54" s="3" t="s">
        <v>1453</v>
      </c>
      <c r="AI54" s="3" t="s">
        <v>2803</v>
      </c>
      <c r="AJ54" s="3" t="s">
        <v>2810</v>
      </c>
      <c r="AK54" s="3" t="s">
        <v>55</v>
      </c>
      <c r="AL54" s="3" t="s">
        <v>666</v>
      </c>
      <c r="AM54" s="3" t="s">
        <v>666</v>
      </c>
      <c r="AN54" s="3" t="s">
        <v>2811</v>
      </c>
      <c r="AO54" s="3" t="s">
        <v>690</v>
      </c>
      <c r="AP54" s="3" t="s">
        <v>691</v>
      </c>
      <c r="AQ54" s="3" t="s">
        <v>734</v>
      </c>
      <c r="AR54" s="3" t="s">
        <v>734</v>
      </c>
      <c r="AS54" s="3" t="s">
        <v>734</v>
      </c>
      <c r="AT54" s="3" t="s">
        <v>734</v>
      </c>
      <c r="AU54" s="3" t="s">
        <v>734</v>
      </c>
      <c r="AV54" s="3" t="s">
        <v>2812</v>
      </c>
      <c r="AW54" s="3" t="s">
        <v>2813</v>
      </c>
      <c r="AX54" s="3" t="s">
        <v>790</v>
      </c>
      <c r="AY54" s="3" t="s">
        <v>691</v>
      </c>
      <c r="AZ54" s="3" t="s">
        <v>790</v>
      </c>
      <c r="BA54" s="3" t="s">
        <v>790</v>
      </c>
      <c r="BB54" s="3" t="s">
        <v>690</v>
      </c>
      <c r="BC54" s="3" t="s">
        <v>691</v>
      </c>
      <c r="BD54" s="3" t="s">
        <v>2814</v>
      </c>
      <c r="BE54" s="3" t="s">
        <v>687</v>
      </c>
      <c r="BF54" s="3" t="s">
        <v>690</v>
      </c>
      <c r="BG54" s="3" t="s">
        <v>691</v>
      </c>
      <c r="BH54" s="3" t="s">
        <v>2815</v>
      </c>
      <c r="BI54" s="3" t="s">
        <v>2816</v>
      </c>
      <c r="BJ54" s="3" t="s">
        <v>2817</v>
      </c>
      <c r="BK54" s="3" t="s">
        <v>2818</v>
      </c>
      <c r="BL54" s="3" t="s">
        <v>1641</v>
      </c>
      <c r="BM54" s="3" t="s">
        <v>2819</v>
      </c>
      <c r="BN54" s="3" t="s">
        <v>2820</v>
      </c>
      <c r="BO54" s="3" t="s">
        <v>2821</v>
      </c>
      <c r="BP54" s="3" t="s">
        <v>236</v>
      </c>
      <c r="BQ54" s="3" t="s">
        <v>2822</v>
      </c>
      <c r="BR54" s="3" t="s">
        <v>2823</v>
      </c>
      <c r="BS54" s="3" t="s">
        <v>703</v>
      </c>
      <c r="BT54" s="3" t="s">
        <v>2824</v>
      </c>
      <c r="BU54" s="3" t="s">
        <v>666</v>
      </c>
      <c r="BV54" s="3" t="s">
        <v>680</v>
      </c>
      <c r="BW54" s="3" t="s">
        <v>1832</v>
      </c>
      <c r="BX54" s="3" t="s">
        <v>2825</v>
      </c>
      <c r="BY54" s="3" t="s">
        <v>2826</v>
      </c>
      <c r="BZ54" s="3" t="s">
        <v>2827</v>
      </c>
      <c r="CA54" s="3" t="s">
        <v>523</v>
      </c>
      <c r="CB54" s="3" t="s">
        <v>2828</v>
      </c>
      <c r="CC54" s="3" t="s">
        <v>1239</v>
      </c>
      <c r="CD54"/>
    </row>
    <row r="55" spans="1:82" ht="134.75" customHeight="1">
      <c r="A55" s="3" t="s">
        <v>524</v>
      </c>
      <c r="B55" s="3" t="s">
        <v>2829</v>
      </c>
      <c r="C55" s="3" t="s">
        <v>2830</v>
      </c>
      <c r="D55" s="3" t="s">
        <v>2831</v>
      </c>
      <c r="E55" s="3" t="s">
        <v>2832</v>
      </c>
      <c r="F55" s="3" t="s">
        <v>526</v>
      </c>
      <c r="G55" s="3" t="s">
        <v>2043</v>
      </c>
      <c r="H55" s="3" t="s">
        <v>2833</v>
      </c>
      <c r="I55" s="3" t="s">
        <v>654</v>
      </c>
      <c r="J55" s="3" t="s">
        <v>655</v>
      </c>
      <c r="K55" s="3" t="s">
        <v>528</v>
      </c>
      <c r="L55" s="3" t="s">
        <v>2834</v>
      </c>
      <c r="M55" s="3" t="s">
        <v>2835</v>
      </c>
      <c r="N55" s="3" t="s">
        <v>527</v>
      </c>
      <c r="O55" s="3" t="s">
        <v>2836</v>
      </c>
      <c r="P55" s="3" t="s">
        <v>2837</v>
      </c>
      <c r="Q55" s="3" t="s">
        <v>2147</v>
      </c>
      <c r="R55" s="3" t="s">
        <v>2838</v>
      </c>
      <c r="S55" s="3" t="s">
        <v>2839</v>
      </c>
      <c r="T55" s="3" t="s">
        <v>2840</v>
      </c>
      <c r="U55" s="3" t="s">
        <v>2841</v>
      </c>
      <c r="V55" s="3" t="s">
        <v>2842</v>
      </c>
      <c r="W55" s="3" t="s">
        <v>725</v>
      </c>
      <c r="X55" s="3" t="s">
        <v>530</v>
      </c>
      <c r="Y55" s="3" t="s">
        <v>2843</v>
      </c>
      <c r="Z55" s="3" t="s">
        <v>2844</v>
      </c>
      <c r="AA55" s="3" t="s">
        <v>1493</v>
      </c>
      <c r="AB55" s="3" t="s">
        <v>1493</v>
      </c>
      <c r="AC55" s="3" t="s">
        <v>1493</v>
      </c>
      <c r="AD55" s="3" t="s">
        <v>1493</v>
      </c>
      <c r="AE55" s="3" t="s">
        <v>2845</v>
      </c>
      <c r="AF55" s="3" t="s">
        <v>2846</v>
      </c>
      <c r="AG55" s="3" t="s">
        <v>666</v>
      </c>
      <c r="AH55" s="3" t="s">
        <v>673</v>
      </c>
      <c r="AI55" s="3" t="s">
        <v>2847</v>
      </c>
      <c r="AJ55" s="3" t="s">
        <v>1004</v>
      </c>
      <c r="AK55" s="3" t="s">
        <v>55</v>
      </c>
      <c r="AL55" s="3" t="s">
        <v>2848</v>
      </c>
      <c r="AM55" s="3" t="s">
        <v>2849</v>
      </c>
      <c r="AN55" s="3" t="s">
        <v>2850</v>
      </c>
      <c r="AO55" s="3" t="s">
        <v>2851</v>
      </c>
      <c r="AP55" s="3" t="s">
        <v>2852</v>
      </c>
      <c r="AQ55" s="3" t="s">
        <v>2853</v>
      </c>
      <c r="AR55" s="3" t="s">
        <v>2854</v>
      </c>
      <c r="AS55" s="3" t="s">
        <v>2855</v>
      </c>
      <c r="AT55" s="3" t="s">
        <v>2856</v>
      </c>
      <c r="AU55" s="3" t="s">
        <v>2857</v>
      </c>
      <c r="AV55" s="3" t="s">
        <v>2858</v>
      </c>
      <c r="AW55" s="3" t="s">
        <v>690</v>
      </c>
      <c r="AX55" s="3" t="s">
        <v>790</v>
      </c>
      <c r="AY55" s="3" t="s">
        <v>691</v>
      </c>
      <c r="AZ55" s="3" t="s">
        <v>790</v>
      </c>
      <c r="BA55" s="3" t="s">
        <v>790</v>
      </c>
      <c r="BB55" s="3" t="s">
        <v>2859</v>
      </c>
      <c r="BC55" s="3" t="s">
        <v>2860</v>
      </c>
      <c r="BD55" s="3" t="s">
        <v>690</v>
      </c>
      <c r="BE55" s="3" t="s">
        <v>691</v>
      </c>
      <c r="BF55" s="3" t="s">
        <v>2861</v>
      </c>
      <c r="BG55" s="3" t="s">
        <v>2862</v>
      </c>
      <c r="BH55" s="3" t="s">
        <v>2863</v>
      </c>
      <c r="BI55" s="3" t="s">
        <v>2864</v>
      </c>
      <c r="BJ55" s="3" t="s">
        <v>680</v>
      </c>
      <c r="BK55" s="3" t="s">
        <v>2865</v>
      </c>
      <c r="BL55" s="3" t="s">
        <v>2866</v>
      </c>
      <c r="BM55" s="3" t="s">
        <v>2867</v>
      </c>
      <c r="BN55" s="3" t="s">
        <v>2868</v>
      </c>
      <c r="BO55" s="3" t="s">
        <v>799</v>
      </c>
      <c r="BP55" s="3" t="s">
        <v>701</v>
      </c>
      <c r="BQ55" s="3" t="s">
        <v>666</v>
      </c>
      <c r="BR55" s="3" t="s">
        <v>2034</v>
      </c>
      <c r="BS55" s="3" t="s">
        <v>2869</v>
      </c>
      <c r="BT55" s="3" t="s">
        <v>2870</v>
      </c>
      <c r="BU55" s="3" t="s">
        <v>2871</v>
      </c>
      <c r="BV55" s="3" t="s">
        <v>680</v>
      </c>
      <c r="BW55" s="3" t="s">
        <v>705</v>
      </c>
      <c r="BX55" s="3" t="s">
        <v>2872</v>
      </c>
      <c r="BY55" s="3" t="s">
        <v>2873</v>
      </c>
      <c r="BZ55" s="3" t="s">
        <v>2874</v>
      </c>
      <c r="CA55" s="3" t="s">
        <v>533</v>
      </c>
      <c r="CB55" s="3" t="s">
        <v>2875</v>
      </c>
      <c r="CC55" s="3" t="s">
        <v>17</v>
      </c>
      <c r="CD55"/>
    </row>
    <row r="56" spans="1:82" ht="132" customHeight="1">
      <c r="A56" s="3" t="s">
        <v>534</v>
      </c>
      <c r="B56" s="3" t="s">
        <v>2876</v>
      </c>
      <c r="C56" s="3" t="s">
        <v>2877</v>
      </c>
      <c r="D56" s="3" t="s">
        <v>2878</v>
      </c>
      <c r="E56" s="3" t="s">
        <v>2140</v>
      </c>
      <c r="F56" s="3" t="s">
        <v>535</v>
      </c>
      <c r="G56" s="3" t="s">
        <v>2879</v>
      </c>
      <c r="H56" s="3" t="s">
        <v>2880</v>
      </c>
      <c r="I56" s="3" t="s">
        <v>654</v>
      </c>
      <c r="J56" s="3" t="s">
        <v>655</v>
      </c>
      <c r="K56" s="3" t="s">
        <v>84</v>
      </c>
      <c r="L56" s="3" t="s">
        <v>2881</v>
      </c>
      <c r="M56" s="3" t="s">
        <v>2882</v>
      </c>
      <c r="N56" s="3" t="s">
        <v>536</v>
      </c>
      <c r="O56" s="3" t="s">
        <v>2711</v>
      </c>
      <c r="P56" s="3" t="s">
        <v>2883</v>
      </c>
      <c r="Q56" s="3" t="s">
        <v>660</v>
      </c>
      <c r="R56" s="3" t="s">
        <v>954</v>
      </c>
      <c r="S56" s="3" t="s">
        <v>2884</v>
      </c>
      <c r="T56" s="3" t="s">
        <v>2382</v>
      </c>
      <c r="U56" s="3" t="s">
        <v>2885</v>
      </c>
      <c r="V56" s="3" t="s">
        <v>2886</v>
      </c>
      <c r="W56" s="3" t="s">
        <v>725</v>
      </c>
      <c r="X56" s="3" t="s">
        <v>538</v>
      </c>
      <c r="Y56" s="3" t="s">
        <v>2887</v>
      </c>
      <c r="Z56" s="3" t="s">
        <v>2888</v>
      </c>
      <c r="AA56" s="3" t="s">
        <v>669</v>
      </c>
      <c r="AB56" s="3" t="s">
        <v>669</v>
      </c>
      <c r="AC56" s="3" t="s">
        <v>669</v>
      </c>
      <c r="AD56" s="3" t="s">
        <v>2889</v>
      </c>
      <c r="AE56" s="3" t="s">
        <v>2890</v>
      </c>
      <c r="AF56" s="3" t="s">
        <v>2891</v>
      </c>
      <c r="AG56" s="3" t="s">
        <v>2892</v>
      </c>
      <c r="AH56" s="3" t="s">
        <v>2893</v>
      </c>
      <c r="AI56" s="3" t="s">
        <v>733</v>
      </c>
      <c r="AJ56" s="3" t="s">
        <v>733</v>
      </c>
      <c r="AK56" s="3" t="s">
        <v>224</v>
      </c>
      <c r="AL56" s="3" t="s">
        <v>2894</v>
      </c>
      <c r="AM56" s="3" t="s">
        <v>666</v>
      </c>
      <c r="AN56" s="3" t="s">
        <v>2895</v>
      </c>
      <c r="AO56" s="3" t="s">
        <v>690</v>
      </c>
      <c r="AP56" s="3" t="s">
        <v>691</v>
      </c>
      <c r="AQ56" s="3" t="s">
        <v>734</v>
      </c>
      <c r="AR56" s="3" t="s">
        <v>734</v>
      </c>
      <c r="AS56" s="3" t="s">
        <v>734</v>
      </c>
      <c r="AT56" s="3" t="s">
        <v>734</v>
      </c>
      <c r="AU56" s="3" t="s">
        <v>734</v>
      </c>
      <c r="AV56" s="3" t="s">
        <v>2896</v>
      </c>
      <c r="AW56" s="3" t="s">
        <v>2897</v>
      </c>
      <c r="AX56" s="3" t="s">
        <v>2898</v>
      </c>
      <c r="AY56" s="3" t="s">
        <v>2899</v>
      </c>
      <c r="AZ56" s="3" t="s">
        <v>2900</v>
      </c>
      <c r="BA56" s="3" t="s">
        <v>2901</v>
      </c>
      <c r="BB56" s="3" t="s">
        <v>690</v>
      </c>
      <c r="BC56" s="3" t="s">
        <v>691</v>
      </c>
      <c r="BD56" s="3" t="s">
        <v>690</v>
      </c>
      <c r="BE56" s="3" t="s">
        <v>691</v>
      </c>
      <c r="BF56" s="3" t="s">
        <v>1998</v>
      </c>
      <c r="BG56" s="3" t="s">
        <v>691</v>
      </c>
      <c r="BH56" s="3" t="s">
        <v>2902</v>
      </c>
      <c r="BI56" s="3" t="s">
        <v>2903</v>
      </c>
      <c r="BJ56" s="3" t="s">
        <v>2904</v>
      </c>
      <c r="BK56" s="3" t="s">
        <v>2905</v>
      </c>
      <c r="BL56" s="3" t="s">
        <v>2743</v>
      </c>
      <c r="BM56" s="3" t="s">
        <v>2906</v>
      </c>
      <c r="BN56" s="3" t="s">
        <v>2907</v>
      </c>
      <c r="BO56" s="3" t="s">
        <v>2908</v>
      </c>
      <c r="BP56" s="3" t="s">
        <v>498</v>
      </c>
      <c r="BQ56" s="3" t="s">
        <v>2909</v>
      </c>
      <c r="BR56" s="3" t="s">
        <v>2910</v>
      </c>
      <c r="BS56" s="3" t="s">
        <v>2911</v>
      </c>
      <c r="BT56" s="3" t="s">
        <v>2912</v>
      </c>
      <c r="BU56" s="3" t="s">
        <v>2913</v>
      </c>
      <c r="BV56" s="3" t="s">
        <v>680</v>
      </c>
      <c r="BW56" s="3" t="s">
        <v>705</v>
      </c>
      <c r="BX56" s="3" t="s">
        <v>2914</v>
      </c>
      <c r="BY56" s="3" t="s">
        <v>2915</v>
      </c>
      <c r="BZ56" s="3" t="s">
        <v>2916</v>
      </c>
      <c r="CA56" s="3" t="s">
        <v>541</v>
      </c>
      <c r="CB56" s="3" t="s">
        <v>2917</v>
      </c>
      <c r="CC56" s="3" t="s">
        <v>9</v>
      </c>
      <c r="CD56"/>
    </row>
    <row r="57" spans="1:82" ht="145.25" customHeight="1">
      <c r="A57" s="3" t="s">
        <v>542</v>
      </c>
      <c r="B57" s="3" t="s">
        <v>2918</v>
      </c>
      <c r="C57" s="3" t="s">
        <v>2919</v>
      </c>
      <c r="D57" s="3" t="s">
        <v>2920</v>
      </c>
      <c r="E57" s="3" t="s">
        <v>714</v>
      </c>
      <c r="F57" s="3" t="s">
        <v>543</v>
      </c>
      <c r="G57" s="3" t="s">
        <v>1381</v>
      </c>
      <c r="H57" s="3" t="s">
        <v>2921</v>
      </c>
      <c r="I57" s="3" t="s">
        <v>654</v>
      </c>
      <c r="J57" s="3" t="s">
        <v>655</v>
      </c>
      <c r="K57" s="3" t="s">
        <v>363</v>
      </c>
      <c r="L57" s="3" t="s">
        <v>2922</v>
      </c>
      <c r="M57" s="3" t="s">
        <v>2923</v>
      </c>
      <c r="N57" s="3" t="s">
        <v>544</v>
      </c>
      <c r="O57" s="3" t="s">
        <v>1385</v>
      </c>
      <c r="P57" s="3" t="s">
        <v>2924</v>
      </c>
      <c r="Q57" s="3" t="s">
        <v>660</v>
      </c>
      <c r="R57" s="3" t="s">
        <v>954</v>
      </c>
      <c r="S57" s="3" t="s">
        <v>2925</v>
      </c>
      <c r="T57" s="3" t="s">
        <v>2926</v>
      </c>
      <c r="U57" s="3" t="s">
        <v>2927</v>
      </c>
      <c r="V57" s="3" t="s">
        <v>2928</v>
      </c>
      <c r="W57" s="3" t="s">
        <v>2929</v>
      </c>
      <c r="X57" s="3" t="s">
        <v>546</v>
      </c>
      <c r="Y57" s="3" t="s">
        <v>2930</v>
      </c>
      <c r="Z57" s="3" t="s">
        <v>2931</v>
      </c>
      <c r="AA57" s="3" t="s">
        <v>2932</v>
      </c>
      <c r="AB57" s="3" t="s">
        <v>2933</v>
      </c>
      <c r="AC57" s="3" t="s">
        <v>733</v>
      </c>
      <c r="AD57" s="3" t="s">
        <v>2934</v>
      </c>
      <c r="AE57" s="3" t="s">
        <v>2935</v>
      </c>
      <c r="AF57" s="3" t="s">
        <v>2936</v>
      </c>
      <c r="AG57" s="3" t="s">
        <v>2892</v>
      </c>
      <c r="AH57" s="3" t="s">
        <v>2937</v>
      </c>
      <c r="AI57" s="3" t="s">
        <v>2938</v>
      </c>
      <c r="AJ57" s="3" t="s">
        <v>2939</v>
      </c>
      <c r="AK57" s="3" t="s">
        <v>548</v>
      </c>
      <c r="AL57" s="3" t="s">
        <v>2940</v>
      </c>
      <c r="AM57" s="3" t="s">
        <v>2941</v>
      </c>
      <c r="AN57" s="3" t="s">
        <v>2942</v>
      </c>
      <c r="AO57" s="3" t="s">
        <v>2943</v>
      </c>
      <c r="AP57" s="3" t="s">
        <v>2944</v>
      </c>
      <c r="AQ57" s="3" t="s">
        <v>2945</v>
      </c>
      <c r="AR57" s="3" t="s">
        <v>2946</v>
      </c>
      <c r="AS57" s="3" t="s">
        <v>2947</v>
      </c>
      <c r="AT57" s="3" t="s">
        <v>2948</v>
      </c>
      <c r="AU57" s="3" t="s">
        <v>2949</v>
      </c>
      <c r="AV57" s="3" t="s">
        <v>2950</v>
      </c>
      <c r="AW57" s="3" t="s">
        <v>2951</v>
      </c>
      <c r="AX57" s="3" t="s">
        <v>1493</v>
      </c>
      <c r="AY57" s="3" t="s">
        <v>2952</v>
      </c>
      <c r="AZ57" s="3" t="s">
        <v>1493</v>
      </c>
      <c r="BA57" s="3" t="s">
        <v>1493</v>
      </c>
      <c r="BB57" s="3" t="s">
        <v>690</v>
      </c>
      <c r="BC57" s="3" t="s">
        <v>691</v>
      </c>
      <c r="BD57" s="3" t="s">
        <v>2953</v>
      </c>
      <c r="BE57" s="3" t="s">
        <v>691</v>
      </c>
      <c r="BF57" s="3" t="s">
        <v>2954</v>
      </c>
      <c r="BG57" s="3" t="s">
        <v>2944</v>
      </c>
      <c r="BH57" s="3" t="s">
        <v>2955</v>
      </c>
      <c r="BI57" s="3" t="s">
        <v>2956</v>
      </c>
      <c r="BJ57" s="3" t="s">
        <v>2957</v>
      </c>
      <c r="BK57" s="3" t="s">
        <v>2958</v>
      </c>
      <c r="BL57" s="3" t="s">
        <v>2959</v>
      </c>
      <c r="BM57" s="3" t="s">
        <v>2960</v>
      </c>
      <c r="BN57" s="3" t="s">
        <v>2961</v>
      </c>
      <c r="BO57" s="3" t="s">
        <v>2962</v>
      </c>
      <c r="BP57" s="3" t="s">
        <v>198</v>
      </c>
      <c r="BQ57" s="3" t="s">
        <v>2963</v>
      </c>
      <c r="BR57" s="3" t="s">
        <v>2964</v>
      </c>
      <c r="BS57" s="3" t="s">
        <v>2965</v>
      </c>
      <c r="BT57" s="3" t="s">
        <v>2966</v>
      </c>
      <c r="BU57" s="3" t="s">
        <v>2967</v>
      </c>
      <c r="BV57" s="3" t="s">
        <v>680</v>
      </c>
      <c r="BW57" s="3" t="s">
        <v>1832</v>
      </c>
      <c r="BX57" s="3" t="s">
        <v>2968</v>
      </c>
      <c r="BY57" s="3" t="s">
        <v>2969</v>
      </c>
      <c r="BZ57" s="3" t="s">
        <v>2970</v>
      </c>
      <c r="CA57" s="3" t="s">
        <v>550</v>
      </c>
      <c r="CB57" s="3" t="s">
        <v>2971</v>
      </c>
      <c r="CC57" s="3" t="s">
        <v>12</v>
      </c>
      <c r="CD57"/>
    </row>
    <row r="58" spans="1:82" ht="132" customHeight="1">
      <c r="A58" s="3" t="s">
        <v>551</v>
      </c>
      <c r="B58" s="3" t="s">
        <v>2972</v>
      </c>
      <c r="C58" s="3" t="s">
        <v>2973</v>
      </c>
      <c r="D58" s="3" t="s">
        <v>2974</v>
      </c>
      <c r="E58" s="3" t="s">
        <v>714</v>
      </c>
      <c r="F58" s="3" t="s">
        <v>553</v>
      </c>
      <c r="G58" s="3" t="s">
        <v>2975</v>
      </c>
      <c r="H58" s="3" t="s">
        <v>2976</v>
      </c>
      <c r="I58" s="3" t="s">
        <v>654</v>
      </c>
      <c r="J58" s="3" t="s">
        <v>655</v>
      </c>
      <c r="K58" s="3" t="s">
        <v>555</v>
      </c>
      <c r="L58" s="3" t="s">
        <v>2977</v>
      </c>
      <c r="M58" s="3" t="s">
        <v>2978</v>
      </c>
      <c r="N58" s="3" t="s">
        <v>554</v>
      </c>
      <c r="O58" s="3" t="s">
        <v>2979</v>
      </c>
      <c r="P58" s="3" t="s">
        <v>2980</v>
      </c>
      <c r="Q58" s="3" t="s">
        <v>2981</v>
      </c>
      <c r="R58" s="3" t="s">
        <v>2982</v>
      </c>
      <c r="S58" s="3" t="s">
        <v>863</v>
      </c>
      <c r="T58" s="3" t="s">
        <v>2983</v>
      </c>
      <c r="U58" s="3" t="s">
        <v>2984</v>
      </c>
      <c r="V58" s="3" t="s">
        <v>2985</v>
      </c>
      <c r="W58" s="3" t="s">
        <v>680</v>
      </c>
      <c r="X58" s="3" t="s">
        <v>557</v>
      </c>
      <c r="Y58" s="3" t="s">
        <v>2986</v>
      </c>
      <c r="Z58" s="3" t="s">
        <v>2987</v>
      </c>
      <c r="AA58" s="3" t="s">
        <v>669</v>
      </c>
      <c r="AB58" s="3" t="s">
        <v>669</v>
      </c>
      <c r="AC58" s="3" t="s">
        <v>669</v>
      </c>
      <c r="AD58" s="3" t="s">
        <v>1451</v>
      </c>
      <c r="AE58" s="3" t="s">
        <v>728</v>
      </c>
      <c r="AF58" s="3" t="s">
        <v>2988</v>
      </c>
      <c r="AG58" s="3" t="s">
        <v>2989</v>
      </c>
      <c r="AH58" s="3" t="s">
        <v>2990</v>
      </c>
      <c r="AI58" s="3" t="s">
        <v>733</v>
      </c>
      <c r="AJ58" s="3" t="s">
        <v>733</v>
      </c>
      <c r="AK58" s="3" t="s">
        <v>224</v>
      </c>
      <c r="AL58" s="3" t="s">
        <v>733</v>
      </c>
      <c r="AM58" s="3" t="s">
        <v>733</v>
      </c>
      <c r="AN58" s="3" t="s">
        <v>2991</v>
      </c>
      <c r="AO58" s="3" t="s">
        <v>2992</v>
      </c>
      <c r="AP58" s="3" t="s">
        <v>691</v>
      </c>
      <c r="AQ58" s="3" t="s">
        <v>2993</v>
      </c>
      <c r="AR58" s="3" t="s">
        <v>2994</v>
      </c>
      <c r="AS58" s="3" t="s">
        <v>669</v>
      </c>
      <c r="AT58" s="3" t="s">
        <v>2995</v>
      </c>
      <c r="AU58" s="3" t="s">
        <v>2996</v>
      </c>
      <c r="AV58" s="3" t="s">
        <v>1641</v>
      </c>
      <c r="AW58" s="3" t="s">
        <v>690</v>
      </c>
      <c r="AX58" s="3" t="s">
        <v>790</v>
      </c>
      <c r="AY58" s="3" t="s">
        <v>691</v>
      </c>
      <c r="AZ58" s="3" t="s">
        <v>790</v>
      </c>
      <c r="BA58" s="3" t="s">
        <v>790</v>
      </c>
      <c r="BB58" s="3" t="s">
        <v>690</v>
      </c>
      <c r="BC58" s="3" t="s">
        <v>691</v>
      </c>
      <c r="BD58" s="3" t="s">
        <v>690</v>
      </c>
      <c r="BE58" s="3" t="s">
        <v>691</v>
      </c>
      <c r="BF58" s="3" t="s">
        <v>690</v>
      </c>
      <c r="BG58" s="3" t="s">
        <v>691</v>
      </c>
      <c r="BH58" s="3" t="s">
        <v>2743</v>
      </c>
      <c r="BI58" s="3" t="s">
        <v>2997</v>
      </c>
      <c r="BJ58" s="3" t="s">
        <v>733</v>
      </c>
      <c r="BK58" s="3" t="s">
        <v>733</v>
      </c>
      <c r="BL58" s="3" t="s">
        <v>2743</v>
      </c>
      <c r="BM58" s="3" t="s">
        <v>2998</v>
      </c>
      <c r="BN58" s="3" t="s">
        <v>733</v>
      </c>
      <c r="BO58" s="3" t="s">
        <v>1643</v>
      </c>
      <c r="BP58" s="3" t="s">
        <v>2999</v>
      </c>
      <c r="BQ58" s="3" t="s">
        <v>3000</v>
      </c>
      <c r="BR58" s="3" t="s">
        <v>3001</v>
      </c>
      <c r="BS58" s="3" t="s">
        <v>559</v>
      </c>
      <c r="BT58" s="3" t="s">
        <v>3002</v>
      </c>
      <c r="BU58" s="3" t="s">
        <v>3003</v>
      </c>
      <c r="BV58" s="3" t="s">
        <v>3004</v>
      </c>
      <c r="BW58" s="3" t="s">
        <v>705</v>
      </c>
      <c r="BX58" s="3" t="s">
        <v>3005</v>
      </c>
      <c r="BY58" s="3" t="s">
        <v>3006</v>
      </c>
      <c r="BZ58" s="3" t="s">
        <v>3007</v>
      </c>
      <c r="CA58" s="3" t="s">
        <v>560</v>
      </c>
      <c r="CB58" s="3" t="s">
        <v>3008</v>
      </c>
      <c r="CC58" s="3" t="s">
        <v>1239</v>
      </c>
      <c r="CD58"/>
    </row>
    <row r="59" spans="1:82" ht="158.75" customHeight="1">
      <c r="A59" s="3" t="s">
        <v>561</v>
      </c>
      <c r="B59" s="3" t="s">
        <v>3009</v>
      </c>
      <c r="C59" s="3" t="s">
        <v>3010</v>
      </c>
      <c r="D59" s="3" t="s">
        <v>3011</v>
      </c>
      <c r="E59" s="3" t="s">
        <v>902</v>
      </c>
      <c r="F59" s="3" t="s">
        <v>562</v>
      </c>
      <c r="G59" s="3" t="s">
        <v>3012</v>
      </c>
      <c r="H59" s="3" t="s">
        <v>3013</v>
      </c>
      <c r="I59" s="3" t="s">
        <v>654</v>
      </c>
      <c r="J59" s="3" t="s">
        <v>655</v>
      </c>
      <c r="K59" s="3" t="s">
        <v>564</v>
      </c>
      <c r="L59" s="3" t="s">
        <v>3014</v>
      </c>
      <c r="M59" s="3" t="s">
        <v>3015</v>
      </c>
      <c r="N59" s="3" t="s">
        <v>563</v>
      </c>
      <c r="O59" s="3" t="s">
        <v>3016</v>
      </c>
      <c r="P59" s="3" t="s">
        <v>3017</v>
      </c>
      <c r="Q59" s="3" t="s">
        <v>3018</v>
      </c>
      <c r="R59" s="3" t="s">
        <v>3019</v>
      </c>
      <c r="S59" s="3" t="s">
        <v>3020</v>
      </c>
      <c r="T59" s="3" t="s">
        <v>3021</v>
      </c>
      <c r="U59" s="3" t="s">
        <v>3022</v>
      </c>
      <c r="V59" s="3" t="s">
        <v>2078</v>
      </c>
      <c r="W59" s="3" t="s">
        <v>725</v>
      </c>
      <c r="X59" s="3" t="s">
        <v>566</v>
      </c>
      <c r="Y59" s="3" t="s">
        <v>3023</v>
      </c>
      <c r="Z59" s="3" t="s">
        <v>3024</v>
      </c>
      <c r="AA59" s="3" t="s">
        <v>1493</v>
      </c>
      <c r="AB59" s="3" t="s">
        <v>1493</v>
      </c>
      <c r="AC59" s="3" t="s">
        <v>1493</v>
      </c>
      <c r="AD59" s="3" t="s">
        <v>1493</v>
      </c>
      <c r="AE59" s="3" t="s">
        <v>3025</v>
      </c>
      <c r="AF59" s="3" t="s">
        <v>3026</v>
      </c>
      <c r="AG59" s="3" t="s">
        <v>3027</v>
      </c>
      <c r="AH59" s="3" t="s">
        <v>3028</v>
      </c>
      <c r="AI59" s="3" t="s">
        <v>3029</v>
      </c>
      <c r="AJ59" s="3" t="s">
        <v>3030</v>
      </c>
      <c r="AK59" s="3" t="s">
        <v>568</v>
      </c>
      <c r="AL59" s="3" t="s">
        <v>3031</v>
      </c>
      <c r="AM59" s="3" t="s">
        <v>3031</v>
      </c>
      <c r="AN59" s="3" t="s">
        <v>3032</v>
      </c>
      <c r="AO59" s="3" t="s">
        <v>690</v>
      </c>
      <c r="AP59" s="3" t="s">
        <v>691</v>
      </c>
      <c r="AQ59" s="3" t="s">
        <v>734</v>
      </c>
      <c r="AR59" s="3" t="s">
        <v>734</v>
      </c>
      <c r="AS59" s="3" t="s">
        <v>734</v>
      </c>
      <c r="AT59" s="3" t="s">
        <v>734</v>
      </c>
      <c r="AU59" s="3" t="s">
        <v>734</v>
      </c>
      <c r="AV59" s="3" t="s">
        <v>3033</v>
      </c>
      <c r="AW59" s="3" t="s">
        <v>3034</v>
      </c>
      <c r="AX59" s="3" t="s">
        <v>3035</v>
      </c>
      <c r="AY59" s="3" t="s">
        <v>3036</v>
      </c>
      <c r="AZ59" s="3" t="s">
        <v>3037</v>
      </c>
      <c r="BA59" s="3" t="s">
        <v>3038</v>
      </c>
      <c r="BB59" s="3" t="s">
        <v>690</v>
      </c>
      <c r="BC59" s="3" t="s">
        <v>691</v>
      </c>
      <c r="BD59" s="3" t="s">
        <v>690</v>
      </c>
      <c r="BE59" s="3" t="s">
        <v>691</v>
      </c>
      <c r="BF59" s="3" t="s">
        <v>3039</v>
      </c>
      <c r="BG59" s="3" t="s">
        <v>3040</v>
      </c>
      <c r="BH59" s="3" t="s">
        <v>3041</v>
      </c>
      <c r="BI59" s="3" t="s">
        <v>3042</v>
      </c>
      <c r="BJ59" s="3" t="s">
        <v>666</v>
      </c>
      <c r="BK59" s="3" t="s">
        <v>3043</v>
      </c>
      <c r="BL59" s="3" t="s">
        <v>3044</v>
      </c>
      <c r="BM59" s="3" t="s">
        <v>3045</v>
      </c>
      <c r="BN59" s="3" t="s">
        <v>3046</v>
      </c>
      <c r="BO59" s="3" t="s">
        <v>3047</v>
      </c>
      <c r="BP59" s="3" t="s">
        <v>3048</v>
      </c>
      <c r="BQ59" s="3" t="s">
        <v>3049</v>
      </c>
      <c r="BR59" s="3" t="s">
        <v>3050</v>
      </c>
      <c r="BS59" s="3" t="s">
        <v>3051</v>
      </c>
      <c r="BT59" s="3" t="s">
        <v>3052</v>
      </c>
      <c r="BU59" s="3" t="s">
        <v>3053</v>
      </c>
      <c r="BV59" s="3" t="s">
        <v>680</v>
      </c>
      <c r="BW59" s="3" t="s">
        <v>3054</v>
      </c>
      <c r="BX59" s="3" t="s">
        <v>3055</v>
      </c>
      <c r="BY59" s="3" t="s">
        <v>3056</v>
      </c>
      <c r="BZ59" s="3" t="s">
        <v>3057</v>
      </c>
      <c r="CA59" s="3" t="s">
        <v>3058</v>
      </c>
      <c r="CB59" s="3" t="s">
        <v>3059</v>
      </c>
      <c r="CC59" s="3" t="s">
        <v>2244</v>
      </c>
      <c r="CD59"/>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8"/>
  <sheetViews>
    <sheetView workbookViewId="0"/>
  </sheetViews>
  <sheetFormatPr baseColWidth="10" defaultColWidth="8.83203125" defaultRowHeight="14"/>
  <cols>
    <col min="1" max="1" width="22" customWidth="1"/>
    <col min="2" max="2" width="24" customWidth="1"/>
    <col min="3" max="3" width="54" customWidth="1"/>
    <col min="4" max="9" width="18" customWidth="1"/>
  </cols>
  <sheetData>
    <row r="1" spans="1:9" ht="16">
      <c r="A1" s="6" t="s">
        <v>3060</v>
      </c>
      <c r="B1" s="6"/>
      <c r="C1" s="6"/>
      <c r="D1" s="6"/>
      <c r="E1" s="6"/>
      <c r="F1" s="6"/>
      <c r="G1" s="6"/>
      <c r="H1" s="6"/>
      <c r="I1" s="6"/>
    </row>
    <row r="2" spans="1:9" ht="17">
      <c r="A2" s="2" t="s">
        <v>3061</v>
      </c>
      <c r="B2" s="2" t="s">
        <v>3062</v>
      </c>
      <c r="C2" s="2" t="s">
        <v>3063</v>
      </c>
      <c r="D2" s="2" t="s">
        <v>3064</v>
      </c>
      <c r="E2" s="1"/>
      <c r="F2" s="1"/>
      <c r="G2" s="1"/>
      <c r="H2" s="1"/>
      <c r="I2" s="1"/>
    </row>
    <row r="3" spans="1:9" ht="187">
      <c r="A3" s="3" t="s">
        <v>9</v>
      </c>
      <c r="B3" s="3">
        <f>COUNTIF(D11:D68,"Yes")</f>
        <v>17</v>
      </c>
      <c r="C3" s="4">
        <f t="shared" ref="C3:C8" si="0">B3/58</f>
        <v>0.29310344827586204</v>
      </c>
      <c r="D3" s="3" t="s">
        <v>3065</v>
      </c>
      <c r="E3" s="1"/>
      <c r="F3" s="1"/>
      <c r="G3" s="1"/>
      <c r="H3" s="1"/>
      <c r="I3" s="1"/>
    </row>
    <row r="4" spans="1:9" ht="153">
      <c r="A4" s="3" t="s">
        <v>12</v>
      </c>
      <c r="B4" s="3">
        <f>COUNTIF(E11:E68,"Yes")</f>
        <v>23</v>
      </c>
      <c r="C4" s="4">
        <f t="shared" si="0"/>
        <v>0.39655172413793105</v>
      </c>
      <c r="D4" s="3" t="s">
        <v>3066</v>
      </c>
      <c r="E4" s="1"/>
      <c r="F4" s="1"/>
      <c r="G4" s="1"/>
      <c r="H4" s="1"/>
      <c r="I4" s="1"/>
    </row>
    <row r="5" spans="1:9" ht="119">
      <c r="A5" s="3" t="s">
        <v>15</v>
      </c>
      <c r="B5" s="3">
        <f>COUNTIF(F11:F68,"Yes")</f>
        <v>18</v>
      </c>
      <c r="C5" s="4">
        <f t="shared" si="0"/>
        <v>0.31034482758620691</v>
      </c>
      <c r="D5" s="3" t="s">
        <v>3067</v>
      </c>
      <c r="E5" s="1"/>
      <c r="F5" s="1"/>
      <c r="G5" s="1"/>
      <c r="H5" s="1"/>
      <c r="I5" s="1"/>
    </row>
    <row r="6" spans="1:9" ht="119">
      <c r="A6" s="3" t="s">
        <v>17</v>
      </c>
      <c r="B6" s="3">
        <f>COUNTIF(G11:G68,"Yes")</f>
        <v>20</v>
      </c>
      <c r="C6" s="4">
        <f t="shared" si="0"/>
        <v>0.34482758620689657</v>
      </c>
      <c r="D6" s="3" t="s">
        <v>3068</v>
      </c>
      <c r="E6" s="1"/>
      <c r="F6" s="1"/>
      <c r="G6" s="1"/>
      <c r="H6" s="1"/>
      <c r="I6" s="1"/>
    </row>
    <row r="7" spans="1:9" ht="68">
      <c r="A7" s="3" t="s">
        <v>20</v>
      </c>
      <c r="B7" s="3">
        <f>COUNTIF(H11:H68,"Yes")</f>
        <v>14</v>
      </c>
      <c r="C7" s="4">
        <f t="shared" si="0"/>
        <v>0.2413793103448276</v>
      </c>
      <c r="D7" s="3" t="s">
        <v>3069</v>
      </c>
      <c r="E7" s="1"/>
      <c r="F7" s="1"/>
      <c r="G7" s="1"/>
      <c r="H7" s="1"/>
      <c r="I7" s="1"/>
    </row>
    <row r="8" spans="1:9" ht="136">
      <c r="A8" s="3" t="s">
        <v>23</v>
      </c>
      <c r="B8" s="3">
        <f>COUNTIF(I11:I68,"Yes")</f>
        <v>10</v>
      </c>
      <c r="C8" s="4">
        <f t="shared" si="0"/>
        <v>0.17241379310344829</v>
      </c>
      <c r="D8" s="3" t="s">
        <v>3070</v>
      </c>
      <c r="E8" s="1"/>
      <c r="F8" s="1"/>
      <c r="G8" s="1"/>
      <c r="H8" s="1"/>
      <c r="I8" s="1"/>
    </row>
    <row r="10" spans="1:9" ht="51">
      <c r="A10" s="2" t="s">
        <v>34</v>
      </c>
      <c r="B10" s="2" t="s">
        <v>35</v>
      </c>
      <c r="C10" s="2" t="s">
        <v>626</v>
      </c>
      <c r="D10" s="2" t="s">
        <v>9</v>
      </c>
      <c r="E10" s="2" t="s">
        <v>12</v>
      </c>
      <c r="F10" s="2" t="s">
        <v>15</v>
      </c>
      <c r="G10" s="2" t="s">
        <v>17</v>
      </c>
      <c r="H10" s="2" t="s">
        <v>20</v>
      </c>
      <c r="I10" s="2" t="s">
        <v>23</v>
      </c>
    </row>
    <row r="11" spans="1:9" ht="34">
      <c r="A11" s="3" t="s">
        <v>47</v>
      </c>
      <c r="B11" s="3" t="s">
        <v>649</v>
      </c>
      <c r="C11" s="3" t="s">
        <v>694</v>
      </c>
      <c r="D11" s="3" t="s">
        <v>680</v>
      </c>
      <c r="E11" s="3" t="s">
        <v>666</v>
      </c>
      <c r="F11" s="3" t="s">
        <v>680</v>
      </c>
      <c r="G11" s="3" t="s">
        <v>666</v>
      </c>
      <c r="H11" s="3" t="s">
        <v>666</v>
      </c>
      <c r="I11" s="3" t="s">
        <v>680</v>
      </c>
    </row>
    <row r="12" spans="1:9" ht="34">
      <c r="A12" s="3" t="s">
        <v>59</v>
      </c>
      <c r="B12" s="3" t="s">
        <v>712</v>
      </c>
      <c r="C12" s="3" t="s">
        <v>742</v>
      </c>
      <c r="D12" s="3" t="s">
        <v>680</v>
      </c>
      <c r="E12" s="3" t="s">
        <v>666</v>
      </c>
      <c r="F12" s="3" t="s">
        <v>680</v>
      </c>
      <c r="G12" s="3" t="s">
        <v>680</v>
      </c>
      <c r="H12" s="3" t="s">
        <v>666</v>
      </c>
      <c r="I12" s="3" t="s">
        <v>680</v>
      </c>
    </row>
    <row r="13" spans="1:9" ht="17">
      <c r="A13" s="3" t="s">
        <v>71</v>
      </c>
      <c r="B13" s="3" t="s">
        <v>758</v>
      </c>
      <c r="C13" s="3" t="s">
        <v>792</v>
      </c>
      <c r="D13" s="3" t="s">
        <v>666</v>
      </c>
      <c r="E13" s="3" t="s">
        <v>680</v>
      </c>
      <c r="F13" s="3" t="s">
        <v>666</v>
      </c>
      <c r="G13" s="3" t="s">
        <v>666</v>
      </c>
      <c r="H13" s="3" t="s">
        <v>680</v>
      </c>
      <c r="I13" s="3" t="s">
        <v>666</v>
      </c>
    </row>
    <row r="14" spans="1:9" ht="34">
      <c r="A14" s="3" t="s">
        <v>80</v>
      </c>
      <c r="B14" s="3" t="s">
        <v>808</v>
      </c>
      <c r="C14" s="3" t="s">
        <v>836</v>
      </c>
      <c r="D14" s="3" t="s">
        <v>680</v>
      </c>
      <c r="E14" s="3" t="s">
        <v>680</v>
      </c>
      <c r="F14" s="3" t="s">
        <v>666</v>
      </c>
      <c r="G14" s="3" t="s">
        <v>666</v>
      </c>
      <c r="H14" s="3" t="s">
        <v>666</v>
      </c>
      <c r="I14" s="3" t="s">
        <v>680</v>
      </c>
    </row>
    <row r="15" spans="1:9" ht="17">
      <c r="A15" s="3" t="s">
        <v>89</v>
      </c>
      <c r="B15" s="3" t="s">
        <v>852</v>
      </c>
      <c r="C15" s="3" t="s">
        <v>889</v>
      </c>
      <c r="D15" s="3" t="s">
        <v>666</v>
      </c>
      <c r="E15" s="3" t="s">
        <v>680</v>
      </c>
      <c r="F15" s="3" t="s">
        <v>666</v>
      </c>
      <c r="G15" s="3" t="s">
        <v>680</v>
      </c>
      <c r="H15" s="3" t="s">
        <v>680</v>
      </c>
      <c r="I15" s="3" t="s">
        <v>680</v>
      </c>
    </row>
    <row r="16" spans="1:9" ht="34">
      <c r="A16" s="3" t="s">
        <v>99</v>
      </c>
      <c r="B16" s="3" t="s">
        <v>900</v>
      </c>
      <c r="C16" s="3" t="s">
        <v>935</v>
      </c>
      <c r="D16" s="3" t="s">
        <v>680</v>
      </c>
      <c r="E16" s="3" t="s">
        <v>680</v>
      </c>
      <c r="F16" s="3" t="s">
        <v>666</v>
      </c>
      <c r="G16" s="3" t="s">
        <v>666</v>
      </c>
      <c r="H16" s="3" t="s">
        <v>666</v>
      </c>
      <c r="I16" s="3" t="s">
        <v>680</v>
      </c>
    </row>
    <row r="17" spans="1:9" ht="51">
      <c r="A17" s="3" t="s">
        <v>108</v>
      </c>
      <c r="B17" s="3" t="s">
        <v>949</v>
      </c>
      <c r="C17" s="3" t="s">
        <v>972</v>
      </c>
      <c r="D17" s="3" t="s">
        <v>666</v>
      </c>
      <c r="E17" s="3" t="s">
        <v>666</v>
      </c>
      <c r="F17" s="3" t="s">
        <v>680</v>
      </c>
      <c r="G17" s="3" t="s">
        <v>666</v>
      </c>
      <c r="H17" s="3" t="s">
        <v>666</v>
      </c>
      <c r="I17" s="3" t="s">
        <v>666</v>
      </c>
    </row>
    <row r="18" spans="1:9" ht="34">
      <c r="A18" s="3" t="s">
        <v>115</v>
      </c>
      <c r="B18" s="3" t="s">
        <v>989</v>
      </c>
      <c r="C18" s="3" t="s">
        <v>1012</v>
      </c>
      <c r="D18" s="3" t="s">
        <v>680</v>
      </c>
      <c r="E18" s="3" t="s">
        <v>666</v>
      </c>
      <c r="F18" s="3" t="s">
        <v>666</v>
      </c>
      <c r="G18" s="3" t="s">
        <v>666</v>
      </c>
      <c r="H18" s="3" t="s">
        <v>680</v>
      </c>
      <c r="I18" s="3" t="s">
        <v>680</v>
      </c>
    </row>
    <row r="19" spans="1:9" ht="34">
      <c r="A19" s="3" t="s">
        <v>124</v>
      </c>
      <c r="B19" s="3" t="s">
        <v>1025</v>
      </c>
      <c r="C19" s="3" t="s">
        <v>1054</v>
      </c>
      <c r="D19" s="3" t="s">
        <v>680</v>
      </c>
      <c r="E19" s="3" t="s">
        <v>666</v>
      </c>
      <c r="F19" s="3" t="s">
        <v>680</v>
      </c>
      <c r="G19" s="3" t="s">
        <v>680</v>
      </c>
      <c r="H19" s="3" t="s">
        <v>666</v>
      </c>
      <c r="I19" s="3" t="s">
        <v>666</v>
      </c>
    </row>
    <row r="20" spans="1:9" ht="17">
      <c r="A20" s="3" t="s">
        <v>132</v>
      </c>
      <c r="B20" s="3" t="s">
        <v>1071</v>
      </c>
      <c r="C20" s="3" t="s">
        <v>1100</v>
      </c>
      <c r="D20" s="3" t="s">
        <v>680</v>
      </c>
      <c r="E20" s="3" t="s">
        <v>680</v>
      </c>
      <c r="F20" s="3" t="s">
        <v>666</v>
      </c>
      <c r="G20" s="3" t="s">
        <v>680</v>
      </c>
      <c r="H20" s="3" t="s">
        <v>680</v>
      </c>
      <c r="I20" s="3" t="s">
        <v>680</v>
      </c>
    </row>
    <row r="21" spans="1:9" ht="34">
      <c r="A21" s="3" t="s">
        <v>141</v>
      </c>
      <c r="B21" s="3" t="s">
        <v>1025</v>
      </c>
      <c r="C21" s="3" t="s">
        <v>1134</v>
      </c>
      <c r="D21" s="3" t="s">
        <v>680</v>
      </c>
      <c r="E21" s="3" t="s">
        <v>666</v>
      </c>
      <c r="F21" s="3" t="s">
        <v>680</v>
      </c>
      <c r="G21" s="3" t="s">
        <v>680</v>
      </c>
      <c r="H21" s="3" t="s">
        <v>680</v>
      </c>
      <c r="I21" s="3" t="s">
        <v>680</v>
      </c>
    </row>
    <row r="22" spans="1:9" ht="34">
      <c r="A22" s="3" t="s">
        <v>150</v>
      </c>
      <c r="B22" s="3" t="s">
        <v>1151</v>
      </c>
      <c r="C22" s="3" t="s">
        <v>1183</v>
      </c>
      <c r="D22" s="3" t="s">
        <v>666</v>
      </c>
      <c r="E22" s="3" t="s">
        <v>680</v>
      </c>
      <c r="F22" s="3" t="s">
        <v>666</v>
      </c>
      <c r="G22" s="3" t="s">
        <v>666</v>
      </c>
      <c r="H22" s="3" t="s">
        <v>680</v>
      </c>
      <c r="I22" s="3" t="s">
        <v>666</v>
      </c>
    </row>
    <row r="23" spans="1:9" ht="34">
      <c r="A23" s="3" t="s">
        <v>159</v>
      </c>
      <c r="B23" s="3" t="s">
        <v>1198</v>
      </c>
      <c r="C23" s="3" t="s">
        <v>1227</v>
      </c>
      <c r="D23" s="3" t="s">
        <v>680</v>
      </c>
      <c r="E23" s="3" t="s">
        <v>680</v>
      </c>
      <c r="F23" s="3" t="s">
        <v>680</v>
      </c>
      <c r="G23" s="3" t="s">
        <v>680</v>
      </c>
      <c r="H23" s="3" t="s">
        <v>680</v>
      </c>
      <c r="I23" s="3" t="s">
        <v>680</v>
      </c>
    </row>
    <row r="24" spans="1:9" ht="51">
      <c r="A24" s="3" t="s">
        <v>166</v>
      </c>
      <c r="B24" s="3" t="s">
        <v>1241</v>
      </c>
      <c r="C24" s="3" t="s">
        <v>1274</v>
      </c>
      <c r="D24" s="3" t="s">
        <v>680</v>
      </c>
      <c r="E24" s="3" t="s">
        <v>680</v>
      </c>
      <c r="F24" s="3" t="s">
        <v>666</v>
      </c>
      <c r="G24" s="3" t="s">
        <v>666</v>
      </c>
      <c r="H24" s="3" t="s">
        <v>680</v>
      </c>
      <c r="I24" s="3" t="s">
        <v>680</v>
      </c>
    </row>
    <row r="25" spans="1:9" ht="17">
      <c r="A25" s="3" t="s">
        <v>175</v>
      </c>
      <c r="B25" s="3" t="s">
        <v>1291</v>
      </c>
      <c r="C25" s="3" t="s">
        <v>1315</v>
      </c>
      <c r="D25" s="3" t="s">
        <v>680</v>
      </c>
      <c r="E25" s="3" t="s">
        <v>666</v>
      </c>
      <c r="F25" s="3" t="s">
        <v>680</v>
      </c>
      <c r="G25" s="3" t="s">
        <v>680</v>
      </c>
      <c r="H25" s="3" t="s">
        <v>666</v>
      </c>
      <c r="I25" s="3" t="s">
        <v>680</v>
      </c>
    </row>
    <row r="26" spans="1:9" ht="34">
      <c r="A26" s="3" t="s">
        <v>184</v>
      </c>
      <c r="B26" s="3" t="s">
        <v>1326</v>
      </c>
      <c r="C26" s="3" t="s">
        <v>1353</v>
      </c>
      <c r="D26" s="3" t="s">
        <v>666</v>
      </c>
      <c r="E26" s="3" t="s">
        <v>666</v>
      </c>
      <c r="F26" s="3" t="s">
        <v>680</v>
      </c>
      <c r="G26" s="3" t="s">
        <v>680</v>
      </c>
      <c r="H26" s="3" t="s">
        <v>680</v>
      </c>
      <c r="I26" s="3" t="s">
        <v>680</v>
      </c>
    </row>
    <row r="27" spans="1:9" ht="51">
      <c r="A27" s="3" t="s">
        <v>193</v>
      </c>
      <c r="B27" s="3" t="s">
        <v>1364</v>
      </c>
      <c r="C27" s="3" t="s">
        <v>1374</v>
      </c>
      <c r="D27" s="3" t="s">
        <v>666</v>
      </c>
      <c r="E27" s="3" t="s">
        <v>666</v>
      </c>
      <c r="F27" s="3" t="s">
        <v>680</v>
      </c>
      <c r="G27" s="3" t="s">
        <v>666</v>
      </c>
      <c r="H27" s="3" t="s">
        <v>680</v>
      </c>
      <c r="I27" s="3" t="s">
        <v>666</v>
      </c>
    </row>
    <row r="28" spans="1:9" ht="34">
      <c r="A28" s="3" t="s">
        <v>198</v>
      </c>
      <c r="B28" s="3" t="s">
        <v>1379</v>
      </c>
      <c r="C28" s="3" t="s">
        <v>1417</v>
      </c>
      <c r="D28" s="3" t="s">
        <v>680</v>
      </c>
      <c r="E28" s="3" t="s">
        <v>666</v>
      </c>
      <c r="F28" s="3" t="s">
        <v>680</v>
      </c>
      <c r="G28" s="3" t="s">
        <v>680</v>
      </c>
      <c r="H28" s="3" t="s">
        <v>680</v>
      </c>
      <c r="I28" s="3" t="s">
        <v>680</v>
      </c>
    </row>
    <row r="29" spans="1:9" ht="34">
      <c r="A29" s="3" t="s">
        <v>209</v>
      </c>
      <c r="B29" s="3" t="s">
        <v>1435</v>
      </c>
      <c r="C29" s="3" t="s">
        <v>1465</v>
      </c>
      <c r="D29" s="3" t="s">
        <v>666</v>
      </c>
      <c r="E29" s="3" t="s">
        <v>680</v>
      </c>
      <c r="F29" s="3" t="s">
        <v>680</v>
      </c>
      <c r="G29" s="3" t="s">
        <v>680</v>
      </c>
      <c r="H29" s="3" t="s">
        <v>680</v>
      </c>
      <c r="I29" s="3" t="s">
        <v>680</v>
      </c>
    </row>
    <row r="30" spans="1:9" ht="51">
      <c r="A30" s="3" t="s">
        <v>217</v>
      </c>
      <c r="B30" s="3" t="s">
        <v>1478</v>
      </c>
      <c r="C30" s="3" t="s">
        <v>1505</v>
      </c>
      <c r="D30" s="3" t="s">
        <v>666</v>
      </c>
      <c r="E30" s="3" t="s">
        <v>680</v>
      </c>
      <c r="F30" s="3" t="s">
        <v>680</v>
      </c>
      <c r="G30" s="3" t="s">
        <v>680</v>
      </c>
      <c r="H30" s="3" t="s">
        <v>680</v>
      </c>
      <c r="I30" s="3" t="s">
        <v>680</v>
      </c>
    </row>
    <row r="31" spans="1:9" ht="34">
      <c r="A31" s="3" t="s">
        <v>227</v>
      </c>
      <c r="B31" s="3" t="s">
        <v>1518</v>
      </c>
      <c r="C31" s="3" t="s">
        <v>1545</v>
      </c>
      <c r="D31" s="3" t="s">
        <v>680</v>
      </c>
      <c r="E31" s="3" t="s">
        <v>666</v>
      </c>
      <c r="F31" s="3" t="s">
        <v>680</v>
      </c>
      <c r="G31" s="3" t="s">
        <v>666</v>
      </c>
      <c r="H31" s="3" t="s">
        <v>666</v>
      </c>
      <c r="I31" s="3" t="s">
        <v>680</v>
      </c>
    </row>
    <row r="32" spans="1:9" ht="34">
      <c r="A32" s="3" t="s">
        <v>236</v>
      </c>
      <c r="B32" s="3" t="s">
        <v>1561</v>
      </c>
      <c r="C32" s="3" t="s">
        <v>1587</v>
      </c>
      <c r="D32" s="3" t="s">
        <v>680</v>
      </c>
      <c r="E32" s="3" t="s">
        <v>666</v>
      </c>
      <c r="F32" s="3" t="s">
        <v>680</v>
      </c>
      <c r="G32" s="3" t="s">
        <v>680</v>
      </c>
      <c r="H32" s="3" t="s">
        <v>680</v>
      </c>
      <c r="I32" s="3" t="s">
        <v>680</v>
      </c>
    </row>
    <row r="33" spans="1:9" ht="17">
      <c r="A33" s="3" t="s">
        <v>246</v>
      </c>
      <c r="B33" s="3" t="s">
        <v>1603</v>
      </c>
      <c r="C33" s="3" t="s">
        <v>1640</v>
      </c>
      <c r="D33" s="3" t="s">
        <v>680</v>
      </c>
      <c r="E33" s="3" t="s">
        <v>680</v>
      </c>
      <c r="F33" s="3" t="s">
        <v>680</v>
      </c>
      <c r="G33" s="3" t="s">
        <v>680</v>
      </c>
      <c r="H33" s="3" t="s">
        <v>680</v>
      </c>
      <c r="I33" s="3" t="s">
        <v>680</v>
      </c>
    </row>
    <row r="34" spans="1:9" ht="34">
      <c r="A34" s="3" t="s">
        <v>257</v>
      </c>
      <c r="B34" s="3" t="s">
        <v>1653</v>
      </c>
      <c r="C34" s="3" t="s">
        <v>1693</v>
      </c>
      <c r="D34" s="3" t="s">
        <v>680</v>
      </c>
      <c r="E34" s="3" t="s">
        <v>666</v>
      </c>
      <c r="F34" s="3" t="s">
        <v>680</v>
      </c>
      <c r="G34" s="3" t="s">
        <v>680</v>
      </c>
      <c r="H34" s="3" t="s">
        <v>666</v>
      </c>
      <c r="I34" s="3" t="s">
        <v>680</v>
      </c>
    </row>
    <row r="35" spans="1:9" ht="51">
      <c r="A35" s="3" t="s">
        <v>265</v>
      </c>
      <c r="B35" s="3" t="s">
        <v>1712</v>
      </c>
      <c r="C35" s="3" t="s">
        <v>1738</v>
      </c>
      <c r="D35" s="3" t="s">
        <v>666</v>
      </c>
      <c r="E35" s="3" t="s">
        <v>666</v>
      </c>
      <c r="F35" s="3" t="s">
        <v>666</v>
      </c>
      <c r="G35" s="3" t="s">
        <v>680</v>
      </c>
      <c r="H35" s="3" t="s">
        <v>680</v>
      </c>
      <c r="I35" s="3" t="s">
        <v>666</v>
      </c>
    </row>
    <row r="36" spans="1:9" ht="34">
      <c r="A36" s="3" t="s">
        <v>274</v>
      </c>
      <c r="B36" s="3" t="s">
        <v>1755</v>
      </c>
      <c r="C36" s="3" t="s">
        <v>1784</v>
      </c>
      <c r="D36" s="3" t="s">
        <v>680</v>
      </c>
      <c r="E36" s="3" t="s">
        <v>680</v>
      </c>
      <c r="F36" s="3" t="s">
        <v>680</v>
      </c>
      <c r="G36" s="3" t="s">
        <v>680</v>
      </c>
      <c r="H36" s="3" t="s">
        <v>680</v>
      </c>
      <c r="I36" s="3" t="s">
        <v>666</v>
      </c>
    </row>
    <row r="37" spans="1:9" ht="51">
      <c r="A37" s="3" t="s">
        <v>283</v>
      </c>
      <c r="B37" s="3" t="s">
        <v>1799</v>
      </c>
      <c r="C37" s="3" t="s">
        <v>1825</v>
      </c>
      <c r="D37" s="3" t="s">
        <v>666</v>
      </c>
      <c r="E37" s="3" t="s">
        <v>680</v>
      </c>
      <c r="F37" s="3" t="s">
        <v>666</v>
      </c>
      <c r="G37" s="3" t="s">
        <v>666</v>
      </c>
      <c r="H37" s="3" t="s">
        <v>680</v>
      </c>
      <c r="I37" s="3" t="s">
        <v>680</v>
      </c>
    </row>
    <row r="38" spans="1:9" ht="34">
      <c r="A38" s="3" t="s">
        <v>293</v>
      </c>
      <c r="B38" s="3" t="s">
        <v>1839</v>
      </c>
      <c r="C38" s="3" t="s">
        <v>1864</v>
      </c>
      <c r="D38" s="3" t="s">
        <v>666</v>
      </c>
      <c r="E38" s="3" t="s">
        <v>666</v>
      </c>
      <c r="F38" s="3" t="s">
        <v>666</v>
      </c>
      <c r="G38" s="3" t="s">
        <v>666</v>
      </c>
      <c r="H38" s="3" t="s">
        <v>680</v>
      </c>
      <c r="I38" s="3" t="s">
        <v>680</v>
      </c>
    </row>
    <row r="39" spans="1:9" ht="34">
      <c r="A39" s="3" t="s">
        <v>302</v>
      </c>
      <c r="B39" s="3" t="s">
        <v>1880</v>
      </c>
      <c r="C39" s="3" t="s">
        <v>1916</v>
      </c>
      <c r="D39" s="3" t="s">
        <v>680</v>
      </c>
      <c r="E39" s="3" t="s">
        <v>666</v>
      </c>
      <c r="F39" s="3" t="s">
        <v>680</v>
      </c>
      <c r="G39" s="3" t="s">
        <v>680</v>
      </c>
      <c r="H39" s="3" t="s">
        <v>680</v>
      </c>
      <c r="I39" s="3" t="s">
        <v>680</v>
      </c>
    </row>
    <row r="40" spans="1:9" ht="34">
      <c r="A40" s="3" t="s">
        <v>310</v>
      </c>
      <c r="B40" s="3" t="s">
        <v>1936</v>
      </c>
      <c r="C40" s="3" t="s">
        <v>1960</v>
      </c>
      <c r="D40" s="3" t="s">
        <v>680</v>
      </c>
      <c r="E40" s="3" t="s">
        <v>680</v>
      </c>
      <c r="F40" s="3" t="s">
        <v>666</v>
      </c>
      <c r="G40" s="3" t="s">
        <v>666</v>
      </c>
      <c r="H40" s="3" t="s">
        <v>680</v>
      </c>
      <c r="I40" s="3" t="s">
        <v>680</v>
      </c>
    </row>
    <row r="41" spans="1:9" ht="17">
      <c r="A41" s="3" t="s">
        <v>319</v>
      </c>
      <c r="B41" s="3" t="s">
        <v>1974</v>
      </c>
      <c r="C41" s="3" t="s">
        <v>1998</v>
      </c>
      <c r="D41" s="3" t="s">
        <v>680</v>
      </c>
      <c r="E41" s="3" t="s">
        <v>680</v>
      </c>
      <c r="F41" s="3" t="s">
        <v>680</v>
      </c>
      <c r="G41" s="3" t="s">
        <v>680</v>
      </c>
      <c r="H41" s="3" t="s">
        <v>680</v>
      </c>
      <c r="I41" s="3" t="s">
        <v>680</v>
      </c>
    </row>
    <row r="42" spans="1:9" ht="17">
      <c r="A42" s="3" t="s">
        <v>326</v>
      </c>
      <c r="B42" s="3" t="s">
        <v>2008</v>
      </c>
      <c r="C42" s="3" t="s">
        <v>2030</v>
      </c>
      <c r="D42" s="3" t="s">
        <v>666</v>
      </c>
      <c r="E42" s="3" t="s">
        <v>680</v>
      </c>
      <c r="F42" s="3" t="s">
        <v>666</v>
      </c>
      <c r="G42" s="3" t="s">
        <v>680</v>
      </c>
      <c r="H42" s="3" t="s">
        <v>680</v>
      </c>
      <c r="I42" s="3" t="s">
        <v>680</v>
      </c>
    </row>
    <row r="43" spans="1:9" ht="17">
      <c r="A43" s="3" t="s">
        <v>333</v>
      </c>
      <c r="B43" s="3" t="s">
        <v>2041</v>
      </c>
      <c r="C43" s="3" t="s">
        <v>2059</v>
      </c>
      <c r="D43" s="3" t="s">
        <v>680</v>
      </c>
      <c r="E43" s="3" t="s">
        <v>680</v>
      </c>
      <c r="F43" s="3" t="s">
        <v>680</v>
      </c>
      <c r="G43" s="3" t="s">
        <v>680</v>
      </c>
      <c r="H43" s="3" t="s">
        <v>666</v>
      </c>
      <c r="I43" s="3" t="s">
        <v>680</v>
      </c>
    </row>
    <row r="44" spans="1:9" ht="17">
      <c r="A44" s="3" t="s">
        <v>341</v>
      </c>
      <c r="B44" s="3" t="s">
        <v>2067</v>
      </c>
      <c r="C44" s="3" t="s">
        <v>1998</v>
      </c>
      <c r="D44" s="3" t="s">
        <v>680</v>
      </c>
      <c r="E44" s="3" t="s">
        <v>680</v>
      </c>
      <c r="F44" s="3" t="s">
        <v>680</v>
      </c>
      <c r="G44" s="3" t="s">
        <v>680</v>
      </c>
      <c r="H44" s="3" t="s">
        <v>680</v>
      </c>
      <c r="I44" s="3" t="s">
        <v>680</v>
      </c>
    </row>
    <row r="45" spans="1:9" ht="68">
      <c r="A45" s="3" t="s">
        <v>350</v>
      </c>
      <c r="B45" s="3" t="s">
        <v>2097</v>
      </c>
      <c r="C45" s="3" t="s">
        <v>2126</v>
      </c>
      <c r="D45" s="3" t="s">
        <v>666</v>
      </c>
      <c r="E45" s="3" t="s">
        <v>666</v>
      </c>
      <c r="F45" s="3" t="s">
        <v>680</v>
      </c>
      <c r="G45" s="3" t="s">
        <v>666</v>
      </c>
      <c r="H45" s="3" t="s">
        <v>666</v>
      </c>
      <c r="I45" s="3" t="s">
        <v>680</v>
      </c>
    </row>
    <row r="46" spans="1:9" ht="17">
      <c r="A46" s="3" t="s">
        <v>359</v>
      </c>
      <c r="B46" s="3" t="s">
        <v>2138</v>
      </c>
      <c r="C46" s="3" t="s">
        <v>2163</v>
      </c>
      <c r="D46" s="3" t="s">
        <v>680</v>
      </c>
      <c r="E46" s="3" t="s">
        <v>666</v>
      </c>
      <c r="F46" s="3" t="s">
        <v>680</v>
      </c>
      <c r="G46" s="3" t="s">
        <v>680</v>
      </c>
      <c r="H46" s="3" t="s">
        <v>680</v>
      </c>
      <c r="I46" s="3" t="s">
        <v>680</v>
      </c>
    </row>
    <row r="47" spans="1:9" ht="17">
      <c r="A47" s="3" t="s">
        <v>368</v>
      </c>
      <c r="B47" s="3" t="s">
        <v>2175</v>
      </c>
      <c r="C47" s="3" t="s">
        <v>2204</v>
      </c>
      <c r="D47" s="3" t="s">
        <v>666</v>
      </c>
      <c r="E47" s="3" t="s">
        <v>680</v>
      </c>
      <c r="F47" s="3" t="s">
        <v>680</v>
      </c>
      <c r="G47" s="3" t="s">
        <v>680</v>
      </c>
      <c r="H47" s="3" t="s">
        <v>680</v>
      </c>
      <c r="I47" s="3" t="s">
        <v>680</v>
      </c>
    </row>
    <row r="48" spans="1:9" ht="34">
      <c r="A48" s="3" t="s">
        <v>378</v>
      </c>
      <c r="B48" s="3" t="s">
        <v>2219</v>
      </c>
      <c r="C48" s="3" t="s">
        <v>2236</v>
      </c>
      <c r="D48" s="3" t="s">
        <v>680</v>
      </c>
      <c r="E48" s="3" t="s">
        <v>666</v>
      </c>
      <c r="F48" s="3" t="s">
        <v>666</v>
      </c>
      <c r="G48" s="3" t="s">
        <v>680</v>
      </c>
      <c r="H48" s="3" t="s">
        <v>666</v>
      </c>
      <c r="I48" s="3" t="s">
        <v>666</v>
      </c>
    </row>
    <row r="49" spans="1:9" ht="17">
      <c r="A49" s="3" t="s">
        <v>386</v>
      </c>
      <c r="B49" s="3" t="s">
        <v>2246</v>
      </c>
      <c r="C49" s="3" t="s">
        <v>1641</v>
      </c>
      <c r="D49" s="3" t="s">
        <v>680</v>
      </c>
      <c r="E49" s="3" t="s">
        <v>680</v>
      </c>
      <c r="F49" s="3" t="s">
        <v>680</v>
      </c>
      <c r="G49" s="3" t="s">
        <v>680</v>
      </c>
      <c r="H49" s="3" t="s">
        <v>680</v>
      </c>
      <c r="I49" s="3" t="s">
        <v>680</v>
      </c>
    </row>
    <row r="50" spans="1:9" ht="34">
      <c r="A50" s="3" t="s">
        <v>397</v>
      </c>
      <c r="B50" s="3" t="s">
        <v>2288</v>
      </c>
      <c r="C50" s="3" t="s">
        <v>2308</v>
      </c>
      <c r="D50" s="3" t="s">
        <v>680</v>
      </c>
      <c r="E50" s="3" t="s">
        <v>666</v>
      </c>
      <c r="F50" s="3" t="s">
        <v>666</v>
      </c>
      <c r="G50" s="3" t="s">
        <v>680</v>
      </c>
      <c r="H50" s="3" t="s">
        <v>666</v>
      </c>
      <c r="I50" s="3" t="s">
        <v>680</v>
      </c>
    </row>
    <row r="51" spans="1:9" ht="34">
      <c r="A51" s="3" t="s">
        <v>406</v>
      </c>
      <c r="B51" s="3" t="s">
        <v>2322</v>
      </c>
      <c r="C51" s="3" t="s">
        <v>2352</v>
      </c>
      <c r="D51" s="3" t="s">
        <v>680</v>
      </c>
      <c r="E51" s="3" t="s">
        <v>680</v>
      </c>
      <c r="F51" s="3" t="s">
        <v>666</v>
      </c>
      <c r="G51" s="3" t="s">
        <v>666</v>
      </c>
      <c r="H51" s="3" t="s">
        <v>680</v>
      </c>
      <c r="I51" s="3" t="s">
        <v>680</v>
      </c>
    </row>
    <row r="52" spans="1:9" ht="17">
      <c r="A52" s="3" t="s">
        <v>415</v>
      </c>
      <c r="B52" s="3" t="s">
        <v>2372</v>
      </c>
      <c r="C52" s="3" t="s">
        <v>2398</v>
      </c>
      <c r="D52" s="3" t="s">
        <v>680</v>
      </c>
      <c r="E52" s="3" t="s">
        <v>680</v>
      </c>
      <c r="F52" s="3" t="s">
        <v>680</v>
      </c>
      <c r="G52" s="3" t="s">
        <v>666</v>
      </c>
      <c r="H52" s="3" t="s">
        <v>680</v>
      </c>
      <c r="I52" s="3" t="s">
        <v>680</v>
      </c>
    </row>
    <row r="53" spans="1:9" ht="17">
      <c r="A53" s="3" t="s">
        <v>422</v>
      </c>
      <c r="B53" s="3" t="s">
        <v>2414</v>
      </c>
      <c r="C53" s="3" t="s">
        <v>1641</v>
      </c>
      <c r="D53" s="3" t="s">
        <v>680</v>
      </c>
      <c r="E53" s="3" t="s">
        <v>680</v>
      </c>
      <c r="F53" s="3" t="s">
        <v>680</v>
      </c>
      <c r="G53" s="3" t="s">
        <v>680</v>
      </c>
      <c r="H53" s="3" t="s">
        <v>680</v>
      </c>
      <c r="I53" s="3" t="s">
        <v>680</v>
      </c>
    </row>
    <row r="54" spans="1:9" ht="17">
      <c r="A54" s="3" t="s">
        <v>432</v>
      </c>
      <c r="B54" s="3" t="s">
        <v>2446</v>
      </c>
      <c r="C54" s="3" t="s">
        <v>2469</v>
      </c>
      <c r="D54" s="3" t="s">
        <v>680</v>
      </c>
      <c r="E54" s="3" t="s">
        <v>680</v>
      </c>
      <c r="F54" s="3" t="s">
        <v>680</v>
      </c>
      <c r="G54" s="3" t="s">
        <v>680</v>
      </c>
      <c r="H54" s="3" t="s">
        <v>680</v>
      </c>
      <c r="I54" s="3" t="s">
        <v>680</v>
      </c>
    </row>
    <row r="55" spans="1:9" ht="17">
      <c r="A55" s="3" t="s">
        <v>443</v>
      </c>
      <c r="B55" s="3" t="s">
        <v>2476</v>
      </c>
      <c r="C55" s="3" t="s">
        <v>2505</v>
      </c>
      <c r="D55" s="3" t="s">
        <v>666</v>
      </c>
      <c r="E55" s="3" t="s">
        <v>680</v>
      </c>
      <c r="F55" s="3" t="s">
        <v>680</v>
      </c>
      <c r="G55" s="3" t="s">
        <v>680</v>
      </c>
      <c r="H55" s="3" t="s">
        <v>680</v>
      </c>
      <c r="I55" s="3" t="s">
        <v>680</v>
      </c>
    </row>
    <row r="56" spans="1:9" ht="34">
      <c r="A56" s="3" t="s">
        <v>453</v>
      </c>
      <c r="B56" s="3" t="s">
        <v>2515</v>
      </c>
      <c r="C56" s="3" t="s">
        <v>2539</v>
      </c>
      <c r="D56" s="3" t="s">
        <v>680</v>
      </c>
      <c r="E56" s="3" t="s">
        <v>666</v>
      </c>
      <c r="F56" s="3" t="s">
        <v>680</v>
      </c>
      <c r="G56" s="3" t="s">
        <v>680</v>
      </c>
      <c r="H56" s="3" t="s">
        <v>680</v>
      </c>
      <c r="I56" s="3" t="s">
        <v>680</v>
      </c>
    </row>
    <row r="57" spans="1:9" ht="17">
      <c r="A57" s="3" t="s">
        <v>463</v>
      </c>
      <c r="B57" s="3" t="s">
        <v>2551</v>
      </c>
      <c r="C57" s="3" t="s">
        <v>1998</v>
      </c>
      <c r="D57" s="3" t="s">
        <v>680</v>
      </c>
      <c r="E57" s="3" t="s">
        <v>680</v>
      </c>
      <c r="F57" s="3" t="s">
        <v>680</v>
      </c>
      <c r="G57" s="3" t="s">
        <v>680</v>
      </c>
      <c r="H57" s="3" t="s">
        <v>680</v>
      </c>
      <c r="I57" s="3" t="s">
        <v>680</v>
      </c>
    </row>
    <row r="58" spans="1:9" ht="34">
      <c r="A58" s="3" t="s">
        <v>472</v>
      </c>
      <c r="B58" s="3" t="s">
        <v>2586</v>
      </c>
      <c r="C58" s="3" t="s">
        <v>2608</v>
      </c>
      <c r="D58" s="3" t="s">
        <v>666</v>
      </c>
      <c r="E58" s="3" t="s">
        <v>680</v>
      </c>
      <c r="F58" s="3" t="s">
        <v>680</v>
      </c>
      <c r="G58" s="3" t="s">
        <v>666</v>
      </c>
      <c r="H58" s="3" t="s">
        <v>680</v>
      </c>
      <c r="I58" s="3" t="s">
        <v>666</v>
      </c>
    </row>
    <row r="59" spans="1:9" ht="17">
      <c r="A59" s="3" t="s">
        <v>480</v>
      </c>
      <c r="B59" s="3" t="s">
        <v>2622</v>
      </c>
      <c r="C59" s="3" t="s">
        <v>2643</v>
      </c>
      <c r="D59" s="3" t="s">
        <v>680</v>
      </c>
      <c r="E59" s="3" t="s">
        <v>680</v>
      </c>
      <c r="F59" s="3" t="s">
        <v>680</v>
      </c>
      <c r="G59" s="3" t="s">
        <v>666</v>
      </c>
      <c r="H59" s="3" t="s">
        <v>680</v>
      </c>
      <c r="I59" s="3" t="s">
        <v>680</v>
      </c>
    </row>
    <row r="60" spans="1:9" ht="34">
      <c r="A60" s="3" t="s">
        <v>488</v>
      </c>
      <c r="B60" s="3" t="s">
        <v>2657</v>
      </c>
      <c r="C60" s="3" t="s">
        <v>2688</v>
      </c>
      <c r="D60" s="3" t="s">
        <v>680</v>
      </c>
      <c r="E60" s="3" t="s">
        <v>680</v>
      </c>
      <c r="F60" s="3" t="s">
        <v>680</v>
      </c>
      <c r="G60" s="3" t="s">
        <v>680</v>
      </c>
      <c r="H60" s="3" t="s">
        <v>680</v>
      </c>
      <c r="I60" s="3" t="s">
        <v>680</v>
      </c>
    </row>
    <row r="61" spans="1:9" ht="17">
      <c r="A61" s="3" t="s">
        <v>498</v>
      </c>
      <c r="B61" s="3" t="s">
        <v>2706</v>
      </c>
      <c r="C61" s="3" t="s">
        <v>2741</v>
      </c>
      <c r="D61" s="3" t="s">
        <v>680</v>
      </c>
      <c r="E61" s="3" t="s">
        <v>680</v>
      </c>
      <c r="F61" s="3" t="s">
        <v>680</v>
      </c>
      <c r="G61" s="3" t="s">
        <v>680</v>
      </c>
      <c r="H61" s="3" t="s">
        <v>680</v>
      </c>
      <c r="I61" s="3" t="s">
        <v>680</v>
      </c>
    </row>
    <row r="62" spans="1:9" ht="17">
      <c r="A62" s="3" t="s">
        <v>506</v>
      </c>
      <c r="B62" s="3" t="s">
        <v>2756</v>
      </c>
      <c r="C62" s="3" t="s">
        <v>2781</v>
      </c>
      <c r="D62" s="3" t="s">
        <v>680</v>
      </c>
      <c r="E62" s="3" t="s">
        <v>680</v>
      </c>
      <c r="F62" s="3" t="s">
        <v>666</v>
      </c>
      <c r="G62" s="3" t="s">
        <v>666</v>
      </c>
      <c r="H62" s="3" t="s">
        <v>680</v>
      </c>
      <c r="I62" s="3" t="s">
        <v>680</v>
      </c>
    </row>
    <row r="63" spans="1:9" ht="17">
      <c r="A63" s="3" t="s">
        <v>515</v>
      </c>
      <c r="B63" s="3" t="s">
        <v>2795</v>
      </c>
      <c r="C63" s="3" t="s">
        <v>2815</v>
      </c>
      <c r="D63" s="3" t="s">
        <v>680</v>
      </c>
      <c r="E63" s="3" t="s">
        <v>680</v>
      </c>
      <c r="F63" s="3" t="s">
        <v>680</v>
      </c>
      <c r="G63" s="3" t="s">
        <v>680</v>
      </c>
      <c r="H63" s="3" t="s">
        <v>680</v>
      </c>
      <c r="I63" s="3" t="s">
        <v>680</v>
      </c>
    </row>
    <row r="64" spans="1:9" ht="34">
      <c r="A64" s="3" t="s">
        <v>524</v>
      </c>
      <c r="B64" s="3" t="s">
        <v>2830</v>
      </c>
      <c r="C64" s="3" t="s">
        <v>2863</v>
      </c>
      <c r="D64" s="3" t="s">
        <v>680</v>
      </c>
      <c r="E64" s="3" t="s">
        <v>680</v>
      </c>
      <c r="F64" s="3" t="s">
        <v>680</v>
      </c>
      <c r="G64" s="3" t="s">
        <v>666</v>
      </c>
      <c r="H64" s="3" t="s">
        <v>680</v>
      </c>
      <c r="I64" s="3" t="s">
        <v>680</v>
      </c>
    </row>
    <row r="65" spans="1:9" ht="34">
      <c r="A65" s="3" t="s">
        <v>534</v>
      </c>
      <c r="B65" s="3" t="s">
        <v>2877</v>
      </c>
      <c r="C65" s="3" t="s">
        <v>2902</v>
      </c>
      <c r="D65" s="3" t="s">
        <v>666</v>
      </c>
      <c r="E65" s="3" t="s">
        <v>680</v>
      </c>
      <c r="F65" s="3" t="s">
        <v>680</v>
      </c>
      <c r="G65" s="3" t="s">
        <v>680</v>
      </c>
      <c r="H65" s="3" t="s">
        <v>680</v>
      </c>
      <c r="I65" s="3" t="s">
        <v>680</v>
      </c>
    </row>
    <row r="66" spans="1:9" ht="17">
      <c r="A66" s="3" t="s">
        <v>542</v>
      </c>
      <c r="B66" s="3" t="s">
        <v>2919</v>
      </c>
      <c r="C66" s="3" t="s">
        <v>2955</v>
      </c>
      <c r="D66" s="3" t="s">
        <v>680</v>
      </c>
      <c r="E66" s="3" t="s">
        <v>666</v>
      </c>
      <c r="F66" s="3" t="s">
        <v>680</v>
      </c>
      <c r="G66" s="3" t="s">
        <v>680</v>
      </c>
      <c r="H66" s="3" t="s">
        <v>680</v>
      </c>
      <c r="I66" s="3" t="s">
        <v>680</v>
      </c>
    </row>
    <row r="67" spans="1:9" ht="17">
      <c r="A67" s="3" t="s">
        <v>551</v>
      </c>
      <c r="B67" s="3" t="s">
        <v>2973</v>
      </c>
      <c r="C67" s="3" t="s">
        <v>2743</v>
      </c>
      <c r="D67" s="3" t="s">
        <v>680</v>
      </c>
      <c r="E67" s="3" t="s">
        <v>680</v>
      </c>
      <c r="F67" s="3" t="s">
        <v>680</v>
      </c>
      <c r="G67" s="3" t="s">
        <v>680</v>
      </c>
      <c r="H67" s="3" t="s">
        <v>680</v>
      </c>
      <c r="I67" s="3" t="s">
        <v>680</v>
      </c>
    </row>
    <row r="68" spans="1:9" ht="51">
      <c r="A68" s="3" t="s">
        <v>561</v>
      </c>
      <c r="B68" s="3" t="s">
        <v>3010</v>
      </c>
      <c r="C68" s="3" t="s">
        <v>3041</v>
      </c>
      <c r="D68" s="3" t="s">
        <v>680</v>
      </c>
      <c r="E68" s="3" t="s">
        <v>666</v>
      </c>
      <c r="F68" s="3" t="s">
        <v>666</v>
      </c>
      <c r="G68" s="3" t="s">
        <v>680</v>
      </c>
      <c r="H68" s="3" t="s">
        <v>666</v>
      </c>
      <c r="I68" s="3" t="s">
        <v>666</v>
      </c>
    </row>
  </sheetData>
  <mergeCells count="1">
    <mergeCell ref="A1:I1"/>
  </mergeCells>
  <conditionalFormatting sqref="D11:D68">
    <cfRule type="expression" dxfId="5" priority="1">
      <formula>D11="Yes"</formula>
    </cfRule>
  </conditionalFormatting>
  <conditionalFormatting sqref="E11:E68">
    <cfRule type="expression" dxfId="4" priority="2">
      <formula>E11="Yes"</formula>
    </cfRule>
  </conditionalFormatting>
  <conditionalFormatting sqref="F11:F68">
    <cfRule type="expression" dxfId="3" priority="3">
      <formula>F11="Yes"</formula>
    </cfRule>
  </conditionalFormatting>
  <conditionalFormatting sqref="G11:G68">
    <cfRule type="expression" dxfId="2" priority="4">
      <formula>G11="Yes"</formula>
    </cfRule>
  </conditionalFormatting>
  <conditionalFormatting sqref="H11:H68">
    <cfRule type="expression" dxfId="1" priority="5">
      <formula>H11="Yes"</formula>
    </cfRule>
  </conditionalFormatting>
  <conditionalFormatting sqref="I11:I68">
    <cfRule type="expression" dxfId="0" priority="6">
      <formula>I11="Yes"</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9"/>
  <sheetViews>
    <sheetView workbookViewId="0"/>
  </sheetViews>
  <sheetFormatPr baseColWidth="10" defaultColWidth="8.83203125" defaultRowHeight="16"/>
  <cols>
    <col min="1" max="1" width="9" style="1" customWidth="1"/>
    <col min="2" max="2" width="85" style="1" customWidth="1"/>
    <col min="3" max="3" width="36" style="1" customWidth="1"/>
  </cols>
  <sheetData>
    <row r="1" spans="1:3" ht="34">
      <c r="A1" s="2" t="s">
        <v>34</v>
      </c>
      <c r="B1" s="2" t="s">
        <v>3071</v>
      </c>
      <c r="C1" s="2" t="s">
        <v>38</v>
      </c>
    </row>
    <row r="2" spans="1:3" ht="68">
      <c r="A2" s="3" t="s">
        <v>47</v>
      </c>
      <c r="B2" s="3" t="s">
        <v>3072</v>
      </c>
      <c r="C2" s="3" t="s">
        <v>50</v>
      </c>
    </row>
    <row r="3" spans="1:3" ht="51">
      <c r="A3" s="3" t="s">
        <v>59</v>
      </c>
      <c r="B3" s="3" t="s">
        <v>3073</v>
      </c>
      <c r="C3" s="3" t="s">
        <v>62</v>
      </c>
    </row>
    <row r="4" spans="1:3" ht="68">
      <c r="A4" s="3" t="s">
        <v>71</v>
      </c>
      <c r="B4" s="3" t="s">
        <v>3074</v>
      </c>
      <c r="C4" s="3" t="s">
        <v>74</v>
      </c>
    </row>
    <row r="5" spans="1:3" ht="85">
      <c r="A5" s="3" t="s">
        <v>80</v>
      </c>
      <c r="B5" s="3" t="s">
        <v>3075</v>
      </c>
      <c r="C5" s="3" t="s">
        <v>83</v>
      </c>
    </row>
    <row r="6" spans="1:3" ht="68">
      <c r="A6" s="3" t="s">
        <v>89</v>
      </c>
      <c r="B6" s="3" t="s">
        <v>3076</v>
      </c>
      <c r="C6" s="3" t="s">
        <v>92</v>
      </c>
    </row>
    <row r="7" spans="1:3" ht="68">
      <c r="A7" s="3" t="s">
        <v>99</v>
      </c>
      <c r="B7" s="3" t="s">
        <v>3077</v>
      </c>
      <c r="C7" s="3" t="s">
        <v>102</v>
      </c>
    </row>
    <row r="8" spans="1:3" ht="51">
      <c r="A8" s="3" t="s">
        <v>108</v>
      </c>
      <c r="B8" s="3" t="s">
        <v>3078</v>
      </c>
      <c r="C8" s="3" t="s">
        <v>110</v>
      </c>
    </row>
    <row r="9" spans="1:3" ht="68">
      <c r="A9" s="3" t="s">
        <v>115</v>
      </c>
      <c r="B9" s="3" t="s">
        <v>3079</v>
      </c>
      <c r="C9" s="3" t="s">
        <v>118</v>
      </c>
    </row>
    <row r="10" spans="1:3" ht="68">
      <c r="A10" s="3" t="s">
        <v>124</v>
      </c>
      <c r="B10" s="3" t="s">
        <v>3080</v>
      </c>
      <c r="C10" s="3" t="s">
        <v>127</v>
      </c>
    </row>
    <row r="11" spans="1:3" ht="68">
      <c r="A11" s="3" t="s">
        <v>132</v>
      </c>
      <c r="B11" s="3" t="s">
        <v>3081</v>
      </c>
      <c r="C11" s="3" t="s">
        <v>135</v>
      </c>
    </row>
    <row r="12" spans="1:3" ht="102">
      <c r="A12" s="3" t="s">
        <v>141</v>
      </c>
      <c r="B12" s="3" t="s">
        <v>3082</v>
      </c>
      <c r="C12" s="3" t="s">
        <v>143</v>
      </c>
    </row>
    <row r="13" spans="1:3" ht="68">
      <c r="A13" s="3" t="s">
        <v>150</v>
      </c>
      <c r="B13" s="3" t="s">
        <v>3083</v>
      </c>
      <c r="C13" s="3" t="s">
        <v>153</v>
      </c>
    </row>
    <row r="14" spans="1:3" ht="85">
      <c r="A14" s="3" t="s">
        <v>159</v>
      </c>
      <c r="B14" s="3" t="s">
        <v>3084</v>
      </c>
      <c r="C14" s="3" t="s">
        <v>162</v>
      </c>
    </row>
    <row r="15" spans="1:3" ht="85">
      <c r="A15" s="3" t="s">
        <v>166</v>
      </c>
      <c r="B15" s="3" t="s">
        <v>3085</v>
      </c>
      <c r="C15" s="3" t="s">
        <v>169</v>
      </c>
    </row>
    <row r="16" spans="1:3" ht="68">
      <c r="A16" s="3" t="s">
        <v>175</v>
      </c>
      <c r="B16" s="3" t="s">
        <v>3086</v>
      </c>
      <c r="C16" s="3" t="s">
        <v>178</v>
      </c>
    </row>
    <row r="17" spans="1:3" ht="68">
      <c r="A17" s="3" t="s">
        <v>184</v>
      </c>
      <c r="B17" s="3" t="s">
        <v>3087</v>
      </c>
      <c r="C17" s="5" t="s">
        <v>187</v>
      </c>
    </row>
    <row r="18" spans="1:3" ht="51">
      <c r="A18" s="3" t="s">
        <v>193</v>
      </c>
      <c r="B18" s="3" t="s">
        <v>3088</v>
      </c>
      <c r="C18" s="3" t="s">
        <v>196</v>
      </c>
    </row>
    <row r="19" spans="1:3" ht="85">
      <c r="A19" s="3" t="s">
        <v>198</v>
      </c>
      <c r="B19" s="3" t="s">
        <v>3089</v>
      </c>
      <c r="C19" s="3" t="s">
        <v>201</v>
      </c>
    </row>
    <row r="20" spans="1:3" ht="68">
      <c r="A20" s="3" t="s">
        <v>209</v>
      </c>
      <c r="B20" s="3" t="s">
        <v>3090</v>
      </c>
      <c r="C20" s="3" t="s">
        <v>212</v>
      </c>
    </row>
    <row r="21" spans="1:3" ht="68">
      <c r="A21" s="3" t="s">
        <v>217</v>
      </c>
      <c r="B21" s="3" t="s">
        <v>3091</v>
      </c>
      <c r="C21" s="3" t="s">
        <v>220</v>
      </c>
    </row>
    <row r="22" spans="1:3" ht="85">
      <c r="A22" s="3" t="s">
        <v>227</v>
      </c>
      <c r="B22" s="3" t="s">
        <v>3092</v>
      </c>
      <c r="C22" s="3" t="s">
        <v>230</v>
      </c>
    </row>
    <row r="23" spans="1:3" ht="85">
      <c r="A23" s="3" t="s">
        <v>236</v>
      </c>
      <c r="B23" s="3" t="s">
        <v>3093</v>
      </c>
      <c r="C23" s="3" t="s">
        <v>239</v>
      </c>
    </row>
    <row r="24" spans="1:3" ht="68">
      <c r="A24" s="3" t="s">
        <v>246</v>
      </c>
      <c r="B24" s="3" t="s">
        <v>3094</v>
      </c>
      <c r="C24" s="3" t="s">
        <v>249</v>
      </c>
    </row>
    <row r="25" spans="1:3" ht="51">
      <c r="A25" s="3" t="s">
        <v>257</v>
      </c>
      <c r="B25" s="3" t="s">
        <v>3095</v>
      </c>
      <c r="C25" s="5" t="s">
        <v>260</v>
      </c>
    </row>
    <row r="26" spans="1:3" ht="85">
      <c r="A26" s="3" t="s">
        <v>265</v>
      </c>
      <c r="B26" s="3" t="s">
        <v>3096</v>
      </c>
      <c r="C26" s="3" t="s">
        <v>268</v>
      </c>
    </row>
    <row r="27" spans="1:3" ht="68">
      <c r="A27" s="3" t="s">
        <v>274</v>
      </c>
      <c r="B27" s="3" t="s">
        <v>3097</v>
      </c>
      <c r="C27" s="3" t="s">
        <v>277</v>
      </c>
    </row>
    <row r="28" spans="1:3" ht="85">
      <c r="A28" s="3" t="s">
        <v>283</v>
      </c>
      <c r="B28" s="3" t="s">
        <v>3098</v>
      </c>
      <c r="C28" s="3" t="s">
        <v>286</v>
      </c>
    </row>
    <row r="29" spans="1:3" ht="51">
      <c r="A29" s="3" t="s">
        <v>293</v>
      </c>
      <c r="B29" s="3" t="s">
        <v>3099</v>
      </c>
      <c r="C29" s="3" t="s">
        <v>296</v>
      </c>
    </row>
    <row r="30" spans="1:3" ht="51">
      <c r="A30" s="3" t="s">
        <v>302</v>
      </c>
      <c r="B30" s="3" t="s">
        <v>3100</v>
      </c>
      <c r="C30" s="3" t="s">
        <v>304</v>
      </c>
    </row>
    <row r="31" spans="1:3" ht="68">
      <c r="A31" s="3" t="s">
        <v>310</v>
      </c>
      <c r="B31" s="3" t="s">
        <v>3101</v>
      </c>
      <c r="C31" s="3" t="s">
        <v>313</v>
      </c>
    </row>
    <row r="32" spans="1:3" ht="85">
      <c r="A32" s="3" t="s">
        <v>319</v>
      </c>
      <c r="B32" s="3" t="s">
        <v>3102</v>
      </c>
      <c r="C32" s="3" t="s">
        <v>322</v>
      </c>
    </row>
    <row r="33" spans="1:3" ht="85">
      <c r="A33" s="3" t="s">
        <v>326</v>
      </c>
      <c r="B33" s="3" t="s">
        <v>3103</v>
      </c>
      <c r="C33" s="3" t="s">
        <v>329</v>
      </c>
    </row>
    <row r="34" spans="1:3" ht="68">
      <c r="A34" s="3" t="s">
        <v>333</v>
      </c>
      <c r="B34" s="3" t="s">
        <v>3104</v>
      </c>
      <c r="C34" s="3" t="s">
        <v>336</v>
      </c>
    </row>
    <row r="35" spans="1:3" ht="85">
      <c r="A35" s="3" t="s">
        <v>341</v>
      </c>
      <c r="B35" s="3" t="s">
        <v>3105</v>
      </c>
      <c r="C35" s="3" t="s">
        <v>344</v>
      </c>
    </row>
    <row r="36" spans="1:3" ht="102">
      <c r="A36" s="3" t="s">
        <v>350</v>
      </c>
      <c r="B36" s="3" t="s">
        <v>3106</v>
      </c>
      <c r="C36" s="3" t="s">
        <v>353</v>
      </c>
    </row>
    <row r="37" spans="1:3" ht="68">
      <c r="A37" s="3" t="s">
        <v>359</v>
      </c>
      <c r="B37" s="3" t="s">
        <v>3107</v>
      </c>
      <c r="C37" s="3" t="s">
        <v>362</v>
      </c>
    </row>
    <row r="38" spans="1:3" ht="85">
      <c r="A38" s="3" t="s">
        <v>368</v>
      </c>
      <c r="B38" s="3" t="s">
        <v>3108</v>
      </c>
      <c r="C38" s="3" t="s">
        <v>371</v>
      </c>
    </row>
    <row r="39" spans="1:3" ht="102">
      <c r="A39" s="3" t="s">
        <v>378</v>
      </c>
      <c r="B39" s="3" t="s">
        <v>3109</v>
      </c>
      <c r="C39" s="3" t="s">
        <v>381</v>
      </c>
    </row>
    <row r="40" spans="1:3" ht="102">
      <c r="A40" s="3" t="s">
        <v>386</v>
      </c>
      <c r="B40" s="3" t="s">
        <v>3110</v>
      </c>
      <c r="C40" s="3" t="s">
        <v>389</v>
      </c>
    </row>
    <row r="41" spans="1:3" ht="68">
      <c r="A41" s="3" t="s">
        <v>397</v>
      </c>
      <c r="B41" s="3" t="s">
        <v>3111</v>
      </c>
      <c r="C41" s="3" t="s">
        <v>400</v>
      </c>
    </row>
    <row r="42" spans="1:3" ht="68">
      <c r="A42" s="3" t="s">
        <v>406</v>
      </c>
      <c r="B42" s="3" t="s">
        <v>3112</v>
      </c>
      <c r="C42" s="3" t="s">
        <v>409</v>
      </c>
    </row>
    <row r="43" spans="1:3" ht="68">
      <c r="A43" s="3" t="s">
        <v>415</v>
      </c>
      <c r="B43" s="3" t="s">
        <v>3113</v>
      </c>
      <c r="C43" s="3" t="s">
        <v>417</v>
      </c>
    </row>
    <row r="44" spans="1:3" ht="68">
      <c r="A44" s="3" t="s">
        <v>422</v>
      </c>
      <c r="B44" s="3" t="s">
        <v>3114</v>
      </c>
      <c r="C44" s="3" t="s">
        <v>425</v>
      </c>
    </row>
    <row r="45" spans="1:3" ht="68">
      <c r="A45" s="3" t="s">
        <v>432</v>
      </c>
      <c r="B45" s="3" t="s">
        <v>3115</v>
      </c>
      <c r="C45" s="3" t="s">
        <v>435</v>
      </c>
    </row>
    <row r="46" spans="1:3" ht="51">
      <c r="A46" s="3" t="s">
        <v>443</v>
      </c>
      <c r="B46" s="3" t="s">
        <v>3116</v>
      </c>
      <c r="C46" s="3" t="s">
        <v>446</v>
      </c>
    </row>
    <row r="47" spans="1:3" ht="68">
      <c r="A47" s="3" t="s">
        <v>453</v>
      </c>
      <c r="B47" s="3" t="s">
        <v>3117</v>
      </c>
      <c r="C47" s="3" t="s">
        <v>456</v>
      </c>
    </row>
    <row r="48" spans="1:3" ht="68">
      <c r="A48" s="3" t="s">
        <v>463</v>
      </c>
      <c r="B48" s="3" t="s">
        <v>3118</v>
      </c>
      <c r="C48" s="3" t="s">
        <v>466</v>
      </c>
    </row>
    <row r="49" spans="1:3" ht="51">
      <c r="A49" s="3" t="s">
        <v>472</v>
      </c>
      <c r="B49" s="3" t="s">
        <v>3119</v>
      </c>
      <c r="C49" s="3" t="s">
        <v>474</v>
      </c>
    </row>
    <row r="50" spans="1:3" ht="51">
      <c r="A50" s="3" t="s">
        <v>480</v>
      </c>
      <c r="B50" s="3" t="s">
        <v>3120</v>
      </c>
      <c r="C50" s="3" t="s">
        <v>483</v>
      </c>
    </row>
    <row r="51" spans="1:3" ht="68">
      <c r="A51" s="3" t="s">
        <v>488</v>
      </c>
      <c r="B51" s="3" t="s">
        <v>3121</v>
      </c>
      <c r="C51" s="3" t="s">
        <v>491</v>
      </c>
    </row>
    <row r="52" spans="1:3" ht="85">
      <c r="A52" s="3" t="s">
        <v>498</v>
      </c>
      <c r="B52" s="3" t="s">
        <v>3122</v>
      </c>
      <c r="C52" s="3" t="s">
        <v>501</v>
      </c>
    </row>
    <row r="53" spans="1:3" ht="68">
      <c r="A53" s="3" t="s">
        <v>506</v>
      </c>
      <c r="B53" s="3" t="s">
        <v>3123</v>
      </c>
      <c r="C53" s="3" t="s">
        <v>509</v>
      </c>
    </row>
    <row r="54" spans="1:3" ht="85">
      <c r="A54" s="3" t="s">
        <v>515</v>
      </c>
      <c r="B54" s="3" t="s">
        <v>3124</v>
      </c>
      <c r="C54" s="3" t="s">
        <v>518</v>
      </c>
    </row>
    <row r="55" spans="1:3" ht="68">
      <c r="A55" s="3" t="s">
        <v>524</v>
      </c>
      <c r="B55" s="3" t="s">
        <v>3125</v>
      </c>
      <c r="C55" s="3" t="s">
        <v>527</v>
      </c>
    </row>
    <row r="56" spans="1:3" ht="51">
      <c r="A56" s="3" t="s">
        <v>534</v>
      </c>
      <c r="B56" s="3" t="s">
        <v>3126</v>
      </c>
      <c r="C56" s="3" t="s">
        <v>536</v>
      </c>
    </row>
    <row r="57" spans="1:3" ht="102">
      <c r="A57" s="3" t="s">
        <v>542</v>
      </c>
      <c r="B57" s="3" t="s">
        <v>3127</v>
      </c>
      <c r="C57" s="3" t="s">
        <v>544</v>
      </c>
    </row>
    <row r="58" spans="1:3" ht="68">
      <c r="A58" s="3" t="s">
        <v>551</v>
      </c>
      <c r="B58" s="3" t="s">
        <v>3128</v>
      </c>
      <c r="C58" s="3" t="s">
        <v>554</v>
      </c>
    </row>
    <row r="59" spans="1:3" ht="51">
      <c r="A59" s="3" t="s">
        <v>561</v>
      </c>
      <c r="B59" s="3" t="s">
        <v>3129</v>
      </c>
      <c r="C59" s="3" t="s">
        <v>563</v>
      </c>
    </row>
  </sheetData>
  <hyperlinks>
    <hyperlink ref="C17" r:id="rId1" xr:uid="{00000000-0004-0000-0400-000000000000}"/>
    <hyperlink ref="C25" r:id="rId2" xr:uid="{00000000-0004-0000-0400-000001000000}"/>
  </hyperlinks>
  <pageMargins left="0.7" right="0.7" top="0.75" bottom="0.75" header="0.3" footer="0.3"/>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Evidence Ledger</vt:lpstr>
      <vt:lpstr>Full Extraction</vt:lpstr>
      <vt:lpstr>Mechanistic Theme Audit</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Adel Zaid Ismail Mutahar</cp:lastModifiedBy>
  <dcterms:created xsi:type="dcterms:W3CDTF">2026-10-12T22:57:39Z</dcterms:created>
  <dcterms:modified xsi:type="dcterms:W3CDTF">2026-10-12T22:57:39Z</dcterms:modified>
</cp:coreProperties>
</file>